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C_Records" sheetId="1" r:id="rId5"/>
    <sheet state="visible" name="Data_Dictionary" sheetId="2" r:id="rId6"/>
    <sheet state="visible" name="Read_Me" sheetId="3" r:id="rId7"/>
    <sheet state="visible" name="Validation_Report" sheetId="4" r:id="rId8"/>
    <sheet state="visible" name="Sheet1" sheetId="5" r:id="rId9"/>
  </sheets>
  <definedNames>
    <definedName hidden="1" localSheetId="0" name="_xlnm._FilterDatabase">EVC_Records!$A$1:$O$9</definedName>
    <definedName hidden="1" localSheetId="1" name="_xlnm._FilterDatabase">Data_Dictionary!$A$1:$E$16</definedName>
    <definedName hidden="1" localSheetId="2" name="_xlnm._FilterDatabase">Read_Me!$A$1:$B$7</definedName>
  </definedNames>
  <calcPr/>
</workbook>
</file>

<file path=xl/sharedStrings.xml><?xml version="1.0" encoding="utf-8"?>
<sst xmlns="http://schemas.openxmlformats.org/spreadsheetml/2006/main" count="276" uniqueCount="180">
  <si>
    <t>evc_id</t>
  </si>
  <si>
    <t>field_name</t>
  </si>
  <si>
    <t>item</t>
  </si>
  <si>
    <t>application_id</t>
  </si>
  <si>
    <t>institution_id</t>
  </si>
  <si>
    <t>definition</t>
  </si>
  <si>
    <t>application_type</t>
  </si>
  <si>
    <t>Audit_ID</t>
  </si>
  <si>
    <t>details</t>
  </si>
  <si>
    <t>data_type</t>
  </si>
  <si>
    <t>route_applicability</t>
  </si>
  <si>
    <t>example</t>
  </si>
  <si>
    <t>application_stage_at_record_creation</t>
  </si>
  <si>
    <t>validation_notes</t>
  </si>
  <si>
    <t>scheduled_date</t>
  </si>
  <si>
    <t>Dataset Scope &amp; Purpose</t>
  </si>
  <si>
    <t>scheduled_time</t>
  </si>
  <si>
    <t>record_created_date</t>
  </si>
  <si>
    <t>assigned_role</t>
  </si>
  <si>
    <t>evc_team_id</t>
  </si>
  <si>
    <t>Check_Description</t>
  </si>
  <si>
    <t>evc_status</t>
  </si>
  <si>
    <t>report_status</t>
  </si>
  <si>
    <t>rescheduled_from_date</t>
  </si>
  <si>
    <t>reschedule_reason</t>
  </si>
  <si>
    <t>Synthetic Expert Visit Committee (EVC) scheduling, panel allocation, and report lifecycle records for the regulatory approval workflow demonstration.</t>
  </si>
  <si>
    <t>Unique Expert Visit Committee schedule record identifier</t>
  </si>
  <si>
    <t>Discrepancies_Found</t>
  </si>
  <si>
    <t>last_updated_date</t>
  </si>
  <si>
    <t>Benchmark Reference Date</t>
  </si>
  <si>
    <t>demo_notes</t>
  </si>
  <si>
    <t>2026-10-25 (fixed evaluation date aligning timeline SLAs across Datasets 1, 2, 3, and 4).</t>
  </si>
  <si>
    <t>Validation_Status</t>
  </si>
  <si>
    <t>Text</t>
  </si>
  <si>
    <t>Cross-Dataset Lineage</t>
  </si>
  <si>
    <t>EVC001</t>
  </si>
  <si>
    <t>Audit_Logic_and_Formula</t>
  </si>
  <si>
    <t>Foreign keys application_id and institution_id strictly match verified records in Dataset 2 (Applications) and Dataset 1 (Institutions Master).</t>
  </si>
  <si>
    <t>Primary key; unique alphanumeric string format EVC###</t>
  </si>
  <si>
    <t>Balanced Scenario Distribution</t>
  </si>
  <si>
    <t>7 operational EVC scenarios represented: proposed/pending slot, scheduled, rescheduled with reason, visit completed, report submitted, report under review, and report reviewed.</t>
  </si>
  <si>
    <t>Unique application identifier matching Dataset 2</t>
  </si>
  <si>
    <t>APP013</t>
  </si>
  <si>
    <t>Route Applicability Caveat</t>
  </si>
  <si>
    <t>CHK001</t>
  </si>
  <si>
    <t>INST013</t>
  </si>
  <si>
    <t>EVC is NOT mandatory for all regulatory applications. Routine Extension of Approval (EoA, Route RT_02) does not require EVC unless triggered by special audit; New Programme (RT_01) and Increase in Intake (RT_03) enforce mandatory EVC.</t>
  </si>
  <si>
    <t>Foreign key referencing Applications.application_id in Dataset 2</t>
  </si>
  <si>
    <t>Increase in Intake</t>
  </si>
  <si>
    <t>Non-Mandatory Rule Notice</t>
  </si>
  <si>
    <t>Verified institution identifier matching Datasets 1 &amp; 2</t>
  </si>
  <si>
    <t>Unverified regulatory triggers and test schedules are explicitly tagged as provisional demo routes to prevent premature or misleading mandatory compliance claims.</t>
  </si>
  <si>
    <t>ROUTE_CONFIGURED_MANDATORY</t>
  </si>
  <si>
    <t>Duplicate or Missing EVC Primary Keys</t>
  </si>
  <si>
    <t>EVC_PENDING</t>
  </si>
  <si>
    <t>System Integration Notes</t>
  </si>
  <si>
    <t>Foreign key referencing Institution Master (Dataset 1)</t>
  </si>
  <si>
    <t>Regulatory approval category from application record</t>
  </si>
  <si>
    <t>Canonical enums for evc_status, report_status, and route_applicability conform to the shared portal schema and data validation matrix.</t>
  </si>
  <si>
    <t>Extension of Approval, New Programme, Increase in Intake</t>
  </si>
  <si>
    <t>Route policy classification for EVC necessity</t>
  </si>
  <si>
    <t>ROUTE_CONFIGURED_MANDATORY, PROVISIONAL_ILLUSTRATIVE_TRIGGER, CONDITIONAL_DEMO_ROUTE, PROVISIONAL_SPECIAL_AUDIT</t>
  </si>
  <si>
    <t>Workflow stage at the time of EVC record capture</t>
  </si>
  <si>
    <t>Must reflect valid stage code from Dataset 3 state machine</t>
  </si>
  <si>
    <t>Designated date for physical or virtual inspection</t>
  </si>
  <si>
    <t>ISO Date (YYYY-MM-DD)</t>
  </si>
  <si>
    <t>EVC Coordinator</t>
  </si>
  <si>
    <t>TEAM_B</t>
  </si>
  <si>
    <t>PROPOSED</t>
  </si>
  <si>
    <t>Not started</t>
  </si>
  <si>
    <t>Must be on or after record_created_date</t>
  </si>
  <si>
    <t>Designated local start time for committee visit</t>
  </si>
  <si>
    <t>Time (HH:MM)</t>
  </si>
  <si>
    <t>Route RT_03 requires EVC; inspection team roster slot proposed pending final confirmation.</t>
  </si>
  <si>
    <t>24-hour time format standard (HH:MM)</t>
  </si>
  <si>
    <t>EVC002</t>
  </si>
  <si>
    <t>Date EVC scheduling record was initialized</t>
  </si>
  <si>
    <t>APP014</t>
  </si>
  <si>
    <t>INST014</t>
  </si>
  <si>
    <t>Extension of Approval</t>
  </si>
  <si>
    <t>PROVISIONAL_ILLUSTRATIVE_TRIGGER</t>
  </si>
  <si>
    <t>EVC_SCHEDULED</t>
  </si>
  <si>
    <t>Must be &lt;= reference benchmark date (2026-10-25)</t>
  </si>
  <si>
    <t>TEAM_A</t>
  </si>
  <si>
    <t>Stakeholder role accountable for coordinating visit</t>
  </si>
  <si>
    <t>SCHEDULED</t>
  </si>
  <si>
    <t>Standard regulatory role accountable for EVC workflows</t>
  </si>
  <si>
    <t>Illustrative inspection schedule for EoA; provisional trigger pending official route confirmation.</t>
  </si>
  <si>
    <t>Assigned 3-member expert visit committee panel roster</t>
  </si>
  <si>
    <t>EVC003</t>
  </si>
  <si>
    <t>Canonical team identifier (e.g. TEAM_A, TEAM_B, TEAM_C)</t>
  </si>
  <si>
    <t>Lifecycle operational status of the EVC visit</t>
  </si>
  <si>
    <t>APP015</t>
  </si>
  <si>
    <t>INST015</t>
  </si>
  <si>
    <t>PROPOSED, SCHEDULED, RESCHEDULED, VISIT_COMPLETED, REPORT_SUBMITTED, REPORT_UNDER_REVIEW, REPORT_REVIEWED</t>
  </si>
  <si>
    <t>New Programme</t>
  </si>
  <si>
    <t>Current processing status of the inspection rubric report</t>
  </si>
  <si>
    <t>Not started, Drafting, Submitted, Under review, Reviewed</t>
  </si>
  <si>
    <t>Original scheduled inspection date prior to postponement</t>
  </si>
  <si>
    <t>ISO Date (YYYY-MM-DD) / Blank</t>
  </si>
  <si>
    <t>Blank if not rescheduled; must be populated if status is RESCHEDULED</t>
  </si>
  <si>
    <t>Documented justification for visit date modification</t>
  </si>
  <si>
    <t>Text / Blank</t>
  </si>
  <si>
    <t>Campus laboratory facility readiness verification requested deferral.</t>
  </si>
  <si>
    <t>Explains institutional or administrative reason for rescheduling</t>
  </si>
  <si>
    <t>RESCHEDULED</t>
  </si>
  <si>
    <t>Date when EVC record or report was most recently modified</t>
  </si>
  <si>
    <t>Must satisfy: record_created_date &lt;= last_updated_date &lt;= 2026-10-25</t>
  </si>
  <si>
    <t>Operational context, synthetic caveat, and verification note</t>
  </si>
  <si>
    <t>Mandatory route visit rescheduled from 2026-10-22 to 2026-10-28; window active.</t>
  </si>
  <si>
    <t>Explicitly distinguishes mandatory route checks from illustrative demo records</t>
  </si>
  <si>
    <t>EVC004</t>
  </si>
  <si>
    <t>APP008</t>
  </si>
  <si>
    <t>INST008</t>
  </si>
  <si>
    <t>CONDITIONAL_DEMO_ROUTE</t>
  </si>
  <si>
    <t>DEFICIENCY_RAISED</t>
  </si>
  <si>
    <t>TEAM_C</t>
  </si>
  <si>
    <t>VISIT_COMPLETED</t>
  </si>
  <si>
    <t>Drafting</t>
  </si>
  <si>
    <t>Provisional site visit conducted on 2026-10-24; inspection report drafting in progress.</t>
  </si>
  <si>
    <t>EVC005</t>
  </si>
  <si>
    <t>APP016</t>
  </si>
  <si>
    <t>INST001</t>
  </si>
  <si>
    <t>PROVISIONAL_SPECIAL_AUDIT</t>
  </si>
  <si>
    <t>EVC_COMPLETED</t>
  </si>
  <si>
    <t>REPORT_SUBMITTED</t>
  </si>
  <si>
    <t>Submitted</t>
  </si>
  <si>
    <t>Verifies that all 7 EVC records maintain non-blank, unique primary identifiers (EVC001-EVC007).</t>
  </si>
  <si>
    <t>CHK002</t>
  </si>
  <si>
    <t>Inspection completed on 2026-10-19; digital report submitted, awaiting committee placement.</t>
  </si>
  <si>
    <t>EVC006</t>
  </si>
  <si>
    <t>Application Reference Integrity (Foreign Key)</t>
  </si>
  <si>
    <t>APP017</t>
  </si>
  <si>
    <t>INST002</t>
  </si>
  <si>
    <t>COMMITTEE_REVIEW</t>
  </si>
  <si>
    <t>REPORT_UNDER_REVIEW</t>
  </si>
  <si>
    <t>Under review</t>
  </si>
  <si>
    <t>New Programme inspection report submitted and placed on Regional Committee review agenda.</t>
  </si>
  <si>
    <t>EVC007</t>
  </si>
  <si>
    <t>APP018</t>
  </si>
  <si>
    <t>INST003</t>
  </si>
  <si>
    <t>REPORT_REVIEWED</t>
  </si>
  <si>
    <t>Reviewed</t>
  </si>
  <si>
    <t>EVC inspection findings evaluated and endorsed; committee meeting minutes pending.</t>
  </si>
  <si>
    <t>Ensures all records map to valid application IDs in Dataset 2 conforming to APP### pattern.</t>
  </si>
  <si>
    <t>CHK003</t>
  </si>
  <si>
    <t>Institution Reference Integrity (Foreign Key)</t>
  </si>
  <si>
    <t>Ensures all records map to valid institution IDs in Dataset 1 conforming to INST### pattern.</t>
  </si>
  <si>
    <t>CHK004</t>
  </si>
  <si>
    <t>Record Creation Date Chronology (&lt;= Reference Date 2026-10-25)</t>
  </si>
  <si>
    <t>Verifies that record creation and last update dates do not exceed the reference date (2026-10-25).</t>
  </si>
  <si>
    <t>CHK005</t>
  </si>
  <si>
    <t>Reschedule Date Precondition Consistency</t>
  </si>
  <si>
    <t>Enforces that any RESCHEDULED visit must have both rescheduled_from_date and reschedule_reason populated.</t>
  </si>
  <si>
    <t>CHK006</t>
  </si>
  <si>
    <t>Scheduled Date Chronology (&gt;= Creation Date)</t>
  </si>
  <si>
    <t>Confirms scheduled inspection dates occur on or after the initial record creation date.</t>
  </si>
  <si>
    <t>CHK007</t>
  </si>
  <si>
    <t>EVC Status &amp; Report Status Lifecycle Consistency</t>
  </si>
  <si>
    <t>Validates that EVC lifecycle visit statuses match the appropriate report status milestone.</t>
  </si>
  <si>
    <t>CHK008</t>
  </si>
  <si>
    <t>Route Applicability Classification &amp; Non-Mandatory Safeguard</t>
  </si>
  <si>
    <t>EVC ID</t>
  </si>
  <si>
    <t>Ensures no routine Extension of Approval claims mandatory EVC, preserving regulatory accuracy.</t>
  </si>
  <si>
    <t>OVERALL</t>
  </si>
  <si>
    <t>Total Dataset Integrity &amp; Regulatory Compliance Audit</t>
  </si>
  <si>
    <t>App ID</t>
  </si>
  <si>
    <t>Inst ID</t>
  </si>
  <si>
    <t>Application Type</t>
  </si>
  <si>
    <t>Dataset 2 Pairing Confirmed?</t>
  </si>
  <si>
    <t>Dataset 1 Institution Name &amp; Verification</t>
  </si>
  <si>
    <t>Comprehensive multi-rule verification confirming 100% integrity across all 7 EVC records.</t>
  </si>
  <si>
    <t>Yes</t>
  </si>
  <si>
    <t>Zubaida Womens Arts College, Shikaripura (Valid, Urban, Karnataka)</t>
  </si>
  <si>
    <t>Zulekha College of Commerce, Science and Technology (Valid, Urban, Maharashtra)</t>
  </si>
  <si>
    <t>203-RAMESHWARAM INSTITUTE OF TECHNOLOGY AND MANAGEMENT (Valid, Urban, UP)</t>
  </si>
  <si>
    <t>Z. F. Wadia Womens College and N. K. Johta College of Commerce (Valid, Urban, Gujarat)</t>
  </si>
  <si>
    <t>Aishabai College of Education(Valid, Urban, Maharashtra)</t>
  </si>
  <si>
    <t>Anjuman-I- Islam's, Akbar Peerbhoy College of Commerce &amp; Economics (Valid, Urban, MH)</t>
  </si>
  <si>
    <t>Abhinav Education Societys Law College, Pune(Valid, Urban, Maharashtra)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</si>
</sst>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8">
    <font>
      <sz val="11.0"/>
      <color theme="1"/>
      <name val="Calibri"/>
      <scheme val="minor"/>
    </font>
    <font>
      <b/>
      <sz val="10.0"/>
      <color rgb="FFFFFFFF"/>
      <name val="Roboto"/>
    </font>
    <font>
      <b/>
      <sz val="10.0"/>
      <color rgb="FF1A1B1F"/>
      <name val="Roboto"/>
    </font>
    <font>
      <sz val="10.0"/>
      <color rgb="FF1A1B1F"/>
      <name val="Roboto"/>
    </font>
    <font>
      <b/>
      <color rgb="FF137333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rgb="FF0C6626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EFF2F7"/>
        <bgColor rgb="FFEFF2F7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8F8FF"/>
      </patternFill>
    </fill>
    <fill>
      <patternFill patternType="solid">
        <fgColor rgb="FFE6F4EA"/>
        <bgColor rgb="FFE6F4EA"/>
      </patternFill>
    </fill>
    <fill>
      <patternFill patternType="solid">
        <fgColor rgb="FFD7E1FF"/>
        <bgColor rgb="FFD7E1FF"/>
      </patternFill>
    </fill>
    <fill>
      <patternFill patternType="solid">
        <fgColor rgb="FFBFE5CC"/>
        <bgColor rgb="FFBFE5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35E91"/>
      </top>
      <bottom style="medium">
        <color rgb="FF435E91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4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3" fontId="2" numFmtId="0" xfId="0" applyAlignment="1" applyFill="1" applyFont="1">
      <alignment readingOrder="0" vertical="center"/>
    </xf>
    <xf borderId="0" fillId="4" fontId="3" numFmtId="164" xfId="0" applyAlignment="1" applyFill="1" applyFont="1" applyNumberFormat="1">
      <alignment horizontal="center" readingOrder="0" shrinkToFit="0" vertical="center" wrapText="1"/>
    </xf>
    <xf borderId="0" fillId="4" fontId="3" numFmtId="165" xfId="0" applyAlignment="1" applyFill="1" applyFont="1" applyNumberFormat="1">
      <alignment horizontal="center" readingOrder="0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4" fontId="3" numFmtId="0" xfId="0" applyAlignment="1" applyFill="1" applyFont="1">
      <alignment shrinkToFit="0" vertical="center" wrapText="1"/>
    </xf>
    <xf borderId="0" fillId="4" fontId="3" numFmtId="164" xfId="0" applyAlignment="1" applyFill="1" applyFont="1" applyNumberFormat="1">
      <alignment horizontal="center" readingOrder="0" vertical="center"/>
    </xf>
    <xf borderId="0" fillId="0" fontId="3" numFmtId="20" xfId="0" applyAlignment="1" applyFont="1" applyNumberFormat="1">
      <alignment readingOrder="0" shrinkToFit="0" vertical="center" wrapText="1"/>
    </xf>
    <xf borderId="0" fillId="4" fontId="3" numFmtId="0" xfId="0" applyAlignment="1" applyFill="1" applyFont="1">
      <alignment readingOrder="0" vertical="center"/>
    </xf>
    <xf borderId="0" fillId="5" fontId="3" numFmtId="0" xfId="0" applyAlignment="1" applyFill="1" applyFont="1">
      <alignment horizontal="center" readingOrder="0" shrinkToFit="0" vertical="center" wrapText="1"/>
    </xf>
    <xf borderId="0" fillId="5" fontId="3" numFmtId="0" xfId="0" applyAlignment="1" applyFill="1" applyFont="1">
      <alignment readingOrder="0" shrinkToFit="0" vertical="center" wrapText="1"/>
    </xf>
    <xf borderId="0" fillId="5" fontId="3" numFmtId="164" xfId="0" applyAlignment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5" fontId="3" numFmtId="165" xfId="0" applyAlignment="1" applyFill="1" applyFont="1" applyNumberFormat="1">
      <alignment horizontal="center" readingOrder="0" shrinkToFit="0" vertical="center" wrapText="1"/>
    </xf>
    <xf borderId="0" fillId="5" fontId="3" numFmtId="164" xfId="0" applyAlignment="1" applyFill="1" applyFont="1" applyNumberFormat="1">
      <alignment horizontal="center" readingOrder="0" vertical="center"/>
    </xf>
    <xf borderId="0" fillId="5" fontId="3" numFmtId="0" xfId="0" applyAlignment="1" applyFill="1" applyFont="1">
      <alignment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horizontal="center" readingOrder="0" vertical="center"/>
    </xf>
    <xf borderId="0" fillId="6" fontId="4" numFmtId="0" xfId="0" applyAlignment="1" applyFill="1" applyFont="1">
      <alignment horizontal="center" vertical="center"/>
    </xf>
    <xf borderId="0" fillId="5" fontId="3" numFmtId="164" xfId="0" applyAlignment="1" applyFill="1" applyFont="1" applyNumberFormat="1">
      <alignment horizontal="center" shrinkToFit="0" vertical="center" wrapText="1"/>
    </xf>
    <xf borderId="0" fillId="5" fontId="3" numFmtId="0" xfId="0" applyAlignment="1" applyFill="1" applyFont="1">
      <alignment shrinkToFit="0" vertical="center" wrapText="1"/>
    </xf>
    <xf borderId="0" fillId="0" fontId="5" numFmtId="0" xfId="0" applyAlignment="1" applyFont="1">
      <alignment shrinkToFit="0" vertical="top" wrapText="1"/>
    </xf>
    <xf borderId="2" fillId="7" fontId="2" numFmtId="0" xfId="0" applyAlignment="1" applyBorder="1" applyFill="1" applyFont="1">
      <alignment readingOrder="0" vertical="center"/>
    </xf>
    <xf borderId="0" fillId="0" fontId="6" numFmtId="0" xfId="0" applyAlignment="1" applyFont="1">
      <alignment horizontal="left" readingOrder="0" shrinkToFit="0" vertical="center" wrapText="0"/>
    </xf>
    <xf borderId="2" fillId="7" fontId="2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left" readingOrder="0" shrinkToFit="0" vertical="center" wrapText="1"/>
    </xf>
    <xf borderId="2" fillId="8" fontId="7" numFmtId="0" xfId="0" applyAlignment="1" applyBorder="1" applyFill="1" applyFont="1">
      <alignment horizontal="center" vertical="center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8" displayName="Table1" name="Table1" id="1">
  <tableColumns count="6">
    <tableColumn name="EVC ID" id="1"/>
    <tableColumn name="App ID" id="2"/>
    <tableColumn name="Inst ID" id="3"/>
    <tableColumn name="Application Type" id="4"/>
    <tableColumn name="Dataset 2 Pairing Confirmed?" id="5"/>
    <tableColumn name="Dataset 1 Institution Name &amp; Verification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3" width="15.86"/>
    <col customWidth="1" min="4" max="4" width="23.71"/>
    <col customWidth="1" min="5" max="5" width="31.57"/>
    <col customWidth="1" min="6" max="6" width="30.14"/>
    <col customWidth="1" min="7" max="7" width="17.29"/>
    <col customWidth="1" min="8" max="8" width="15.86"/>
    <col customWidth="1" min="9" max="10" width="18.71"/>
    <col customWidth="1" min="11" max="11" width="15.14"/>
    <col customWidth="1" min="12" max="12" width="25.14"/>
    <col customWidth="1" min="13" max="13" width="16.57"/>
    <col customWidth="1" min="14" max="14" width="21.57"/>
    <col customWidth="1" min="15" max="15" width="37.29"/>
    <col customWidth="1" min="16" max="16" width="18.71"/>
    <col customWidth="1" min="17" max="17" width="45.86"/>
    <col customWidth="1" min="18" max="26" width="8.71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21</v>
      </c>
      <c r="M1" s="1" t="s">
        <v>22</v>
      </c>
      <c r="N1" s="1" t="s">
        <v>23</v>
      </c>
      <c r="O1" s="1" t="s">
        <v>24</v>
      </c>
      <c r="P1" s="3" t="s">
        <v>28</v>
      </c>
      <c r="Q1" s="3" t="s">
        <v>30</v>
      </c>
    </row>
    <row r="2">
      <c r="A2" s="6" t="s">
        <v>35</v>
      </c>
      <c r="B2" s="6" t="s">
        <v>42</v>
      </c>
      <c r="C2" s="6" t="s">
        <v>45</v>
      </c>
      <c r="D2" s="8" t="s">
        <v>48</v>
      </c>
      <c r="E2" s="8" t="s">
        <v>52</v>
      </c>
      <c r="F2" s="8" t="s">
        <v>54</v>
      </c>
      <c r="G2" s="11">
        <v>46324.0</v>
      </c>
      <c r="H2" s="12">
        <v>0.4375</v>
      </c>
      <c r="I2" s="11">
        <v>46317.0</v>
      </c>
      <c r="J2" s="8" t="s">
        <v>66</v>
      </c>
      <c r="K2" s="6" t="s">
        <v>67</v>
      </c>
      <c r="L2" s="6" t="s">
        <v>68</v>
      </c>
      <c r="M2" s="6" t="s">
        <v>69</v>
      </c>
      <c r="N2" s="13"/>
      <c r="O2" s="15"/>
      <c r="P2" s="16">
        <v>46318.0</v>
      </c>
      <c r="Q2" s="18" t="s">
        <v>73</v>
      </c>
    </row>
    <row r="3">
      <c r="A3" s="6" t="s">
        <v>75</v>
      </c>
      <c r="B3" s="6" t="s">
        <v>77</v>
      </c>
      <c r="C3" s="6" t="s">
        <v>78</v>
      </c>
      <c r="D3" s="8" t="s">
        <v>79</v>
      </c>
      <c r="E3" s="8" t="s">
        <v>80</v>
      </c>
      <c r="F3" s="8" t="s">
        <v>81</v>
      </c>
      <c r="G3" s="11">
        <v>46325.0</v>
      </c>
      <c r="H3" s="12">
        <v>0.4166666666666667</v>
      </c>
      <c r="I3" s="11">
        <v>46316.0</v>
      </c>
      <c r="J3" s="8" t="s">
        <v>66</v>
      </c>
      <c r="K3" s="6" t="s">
        <v>83</v>
      </c>
      <c r="L3" s="6" t="s">
        <v>85</v>
      </c>
      <c r="M3" s="6" t="s">
        <v>69</v>
      </c>
      <c r="N3" s="13"/>
      <c r="O3" s="15"/>
      <c r="P3" s="16">
        <v>46317.0</v>
      </c>
      <c r="Q3" s="18" t="s">
        <v>87</v>
      </c>
    </row>
    <row r="4">
      <c r="A4" s="19" t="s">
        <v>89</v>
      </c>
      <c r="B4" s="19" t="s">
        <v>92</v>
      </c>
      <c r="C4" s="19" t="s">
        <v>93</v>
      </c>
      <c r="D4" s="20" t="s">
        <v>95</v>
      </c>
      <c r="E4" s="20" t="s">
        <v>52</v>
      </c>
      <c r="F4" s="20" t="s">
        <v>81</v>
      </c>
      <c r="G4" s="21">
        <v>46323.0</v>
      </c>
      <c r="H4" s="23">
        <v>0.4583333333333333</v>
      </c>
      <c r="I4" s="21">
        <v>46313.0</v>
      </c>
      <c r="J4" s="20" t="s">
        <v>66</v>
      </c>
      <c r="K4" s="19" t="s">
        <v>67</v>
      </c>
      <c r="L4" s="19" t="s">
        <v>105</v>
      </c>
      <c r="M4" s="19" t="s">
        <v>69</v>
      </c>
      <c r="N4" s="21">
        <v>46317.0</v>
      </c>
      <c r="O4" s="20" t="s">
        <v>103</v>
      </c>
      <c r="P4" s="24">
        <v>46319.0</v>
      </c>
      <c r="Q4" s="25" t="s">
        <v>109</v>
      </c>
    </row>
    <row r="5">
      <c r="A5" s="26" t="s">
        <v>111</v>
      </c>
      <c r="B5" s="26" t="s">
        <v>112</v>
      </c>
      <c r="C5" s="26" t="s">
        <v>113</v>
      </c>
      <c r="D5" s="5" t="s">
        <v>48</v>
      </c>
      <c r="E5" s="5" t="s">
        <v>114</v>
      </c>
      <c r="F5" s="5" t="s">
        <v>115</v>
      </c>
      <c r="G5" s="27">
        <v>46319.0</v>
      </c>
      <c r="H5" s="28">
        <v>0.5416666666666666</v>
      </c>
      <c r="I5" s="27">
        <v>46316.0</v>
      </c>
      <c r="J5" s="5" t="s">
        <v>66</v>
      </c>
      <c r="K5" s="26" t="s">
        <v>116</v>
      </c>
      <c r="L5" s="26" t="s">
        <v>117</v>
      </c>
      <c r="M5" s="26" t="s">
        <v>118</v>
      </c>
      <c r="N5" s="29"/>
      <c r="O5" s="30"/>
      <c r="P5" s="31">
        <v>46320.0</v>
      </c>
      <c r="Q5" s="9" t="s">
        <v>119</v>
      </c>
    </row>
    <row r="6">
      <c r="A6" s="19" t="s">
        <v>120</v>
      </c>
      <c r="B6" s="19" t="s">
        <v>121</v>
      </c>
      <c r="C6" s="19" t="s">
        <v>122</v>
      </c>
      <c r="D6" s="20" t="s">
        <v>79</v>
      </c>
      <c r="E6" s="20" t="s">
        <v>123</v>
      </c>
      <c r="F6" s="20" t="s">
        <v>124</v>
      </c>
      <c r="G6" s="21">
        <v>46314.0</v>
      </c>
      <c r="H6" s="23">
        <v>0.3958333333333333</v>
      </c>
      <c r="I6" s="21">
        <v>46313.0</v>
      </c>
      <c r="J6" s="20" t="s">
        <v>66</v>
      </c>
      <c r="K6" s="19" t="s">
        <v>83</v>
      </c>
      <c r="L6" s="19" t="s">
        <v>125</v>
      </c>
      <c r="M6" s="19" t="s">
        <v>126</v>
      </c>
      <c r="N6" s="33"/>
      <c r="O6" s="34"/>
      <c r="P6" s="24">
        <v>46319.0</v>
      </c>
      <c r="Q6" s="25" t="s">
        <v>129</v>
      </c>
    </row>
    <row r="7">
      <c r="A7" s="26" t="s">
        <v>130</v>
      </c>
      <c r="B7" s="26" t="s">
        <v>132</v>
      </c>
      <c r="C7" s="26" t="s">
        <v>133</v>
      </c>
      <c r="D7" s="5" t="s">
        <v>95</v>
      </c>
      <c r="E7" s="5" t="s">
        <v>52</v>
      </c>
      <c r="F7" s="5" t="s">
        <v>134</v>
      </c>
      <c r="G7" s="27">
        <v>46311.0</v>
      </c>
      <c r="H7" s="28">
        <v>0.4166666666666667</v>
      </c>
      <c r="I7" s="27">
        <v>46307.0</v>
      </c>
      <c r="J7" s="5" t="s">
        <v>66</v>
      </c>
      <c r="K7" s="26" t="s">
        <v>116</v>
      </c>
      <c r="L7" s="26" t="s">
        <v>135</v>
      </c>
      <c r="M7" s="26" t="s">
        <v>136</v>
      </c>
      <c r="N7" s="29"/>
      <c r="O7" s="30"/>
      <c r="P7" s="31">
        <v>46318.0</v>
      </c>
      <c r="Q7" s="9" t="s">
        <v>137</v>
      </c>
    </row>
    <row r="8">
      <c r="A8" s="19" t="s">
        <v>138</v>
      </c>
      <c r="B8" s="19" t="s">
        <v>139</v>
      </c>
      <c r="C8" s="19" t="s">
        <v>140</v>
      </c>
      <c r="D8" s="20" t="s">
        <v>48</v>
      </c>
      <c r="E8" s="20" t="s">
        <v>52</v>
      </c>
      <c r="F8" s="20" t="s">
        <v>134</v>
      </c>
      <c r="G8" s="21">
        <v>46309.0</v>
      </c>
      <c r="H8" s="23">
        <v>0.4166666666666667</v>
      </c>
      <c r="I8" s="21">
        <v>46305.0</v>
      </c>
      <c r="J8" s="20" t="s">
        <v>66</v>
      </c>
      <c r="K8" s="19" t="s">
        <v>67</v>
      </c>
      <c r="L8" s="19" t="s">
        <v>141</v>
      </c>
      <c r="M8" s="19" t="s">
        <v>142</v>
      </c>
      <c r="N8" s="33"/>
      <c r="O8" s="34"/>
      <c r="P8" s="24">
        <v>46319.0</v>
      </c>
      <c r="Q8" s="25" t="s">
        <v>143</v>
      </c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9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57"/>
    <col customWidth="1" min="2" max="2" width="43.0"/>
    <col customWidth="1" min="3" max="3" width="21.57"/>
    <col customWidth="1" min="4" max="4" width="25.86"/>
    <col customWidth="1" min="5" max="5" width="51.57"/>
    <col customWidth="1" min="6" max="26" width="8.71"/>
  </cols>
  <sheetData>
    <row r="1">
      <c r="A1" s="2" t="s">
        <v>1</v>
      </c>
      <c r="B1" s="2" t="s">
        <v>5</v>
      </c>
      <c r="C1" s="2" t="s">
        <v>9</v>
      </c>
      <c r="D1" s="2" t="s">
        <v>11</v>
      </c>
      <c r="E1" s="2" t="s">
        <v>13</v>
      </c>
    </row>
    <row r="2">
      <c r="A2" s="4" t="s">
        <v>0</v>
      </c>
      <c r="B2" s="5" t="s">
        <v>26</v>
      </c>
      <c r="C2" s="5" t="s">
        <v>33</v>
      </c>
      <c r="D2" s="5" t="s">
        <v>35</v>
      </c>
      <c r="E2" s="5" t="s">
        <v>38</v>
      </c>
    </row>
    <row r="3">
      <c r="A3" s="4" t="s">
        <v>3</v>
      </c>
      <c r="B3" s="5" t="s">
        <v>41</v>
      </c>
      <c r="C3" s="5" t="s">
        <v>33</v>
      </c>
      <c r="D3" s="5" t="s">
        <v>42</v>
      </c>
      <c r="E3" s="5" t="s">
        <v>47</v>
      </c>
    </row>
    <row r="4">
      <c r="A4" s="4" t="s">
        <v>4</v>
      </c>
      <c r="B4" s="5" t="s">
        <v>50</v>
      </c>
      <c r="C4" s="5" t="s">
        <v>33</v>
      </c>
      <c r="D4" s="5" t="s">
        <v>45</v>
      </c>
      <c r="E4" s="5" t="s">
        <v>56</v>
      </c>
    </row>
    <row r="5">
      <c r="A5" s="4" t="s">
        <v>6</v>
      </c>
      <c r="B5" s="5" t="s">
        <v>57</v>
      </c>
      <c r="C5" s="5" t="s">
        <v>33</v>
      </c>
      <c r="D5" s="5" t="s">
        <v>48</v>
      </c>
      <c r="E5" s="5" t="s">
        <v>59</v>
      </c>
    </row>
    <row r="6">
      <c r="A6" s="4" t="s">
        <v>10</v>
      </c>
      <c r="B6" s="5" t="s">
        <v>60</v>
      </c>
      <c r="C6" s="5" t="s">
        <v>33</v>
      </c>
      <c r="D6" s="5" t="s">
        <v>52</v>
      </c>
      <c r="E6" s="5" t="s">
        <v>61</v>
      </c>
    </row>
    <row r="7">
      <c r="A7" s="4" t="s">
        <v>12</v>
      </c>
      <c r="B7" s="5" t="s">
        <v>62</v>
      </c>
      <c r="C7" s="5" t="s">
        <v>33</v>
      </c>
      <c r="D7" s="5" t="s">
        <v>54</v>
      </c>
      <c r="E7" s="5" t="s">
        <v>63</v>
      </c>
    </row>
    <row r="8">
      <c r="A8" s="4" t="s">
        <v>14</v>
      </c>
      <c r="B8" s="5" t="s">
        <v>64</v>
      </c>
      <c r="C8" s="5" t="s">
        <v>65</v>
      </c>
      <c r="D8" s="14">
        <v>46324.0</v>
      </c>
      <c r="E8" s="5" t="s">
        <v>70</v>
      </c>
    </row>
    <row r="9">
      <c r="A9" s="4" t="s">
        <v>16</v>
      </c>
      <c r="B9" s="5" t="s">
        <v>71</v>
      </c>
      <c r="C9" s="5" t="s">
        <v>72</v>
      </c>
      <c r="D9" s="17">
        <v>0.4375</v>
      </c>
      <c r="E9" s="5" t="s">
        <v>74</v>
      </c>
    </row>
    <row r="10">
      <c r="A10" s="4" t="s">
        <v>17</v>
      </c>
      <c r="B10" s="5" t="s">
        <v>76</v>
      </c>
      <c r="C10" s="5" t="s">
        <v>65</v>
      </c>
      <c r="D10" s="14">
        <v>46317.0</v>
      </c>
      <c r="E10" s="5" t="s">
        <v>82</v>
      </c>
    </row>
    <row r="11">
      <c r="A11" s="4" t="s">
        <v>18</v>
      </c>
      <c r="B11" s="5" t="s">
        <v>84</v>
      </c>
      <c r="C11" s="5" t="s">
        <v>33</v>
      </c>
      <c r="D11" s="5" t="s">
        <v>66</v>
      </c>
      <c r="E11" s="5" t="s">
        <v>86</v>
      </c>
    </row>
    <row r="12">
      <c r="A12" s="4" t="s">
        <v>19</v>
      </c>
      <c r="B12" s="5" t="s">
        <v>88</v>
      </c>
      <c r="C12" s="5" t="s">
        <v>33</v>
      </c>
      <c r="D12" s="5" t="s">
        <v>67</v>
      </c>
      <c r="E12" s="5" t="s">
        <v>90</v>
      </c>
    </row>
    <row r="13">
      <c r="A13" s="4" t="s">
        <v>21</v>
      </c>
      <c r="B13" s="5" t="s">
        <v>91</v>
      </c>
      <c r="C13" s="5" t="s">
        <v>33</v>
      </c>
      <c r="D13" s="5" t="s">
        <v>68</v>
      </c>
      <c r="E13" s="5" t="s">
        <v>94</v>
      </c>
    </row>
    <row r="14">
      <c r="A14" s="4" t="s">
        <v>22</v>
      </c>
      <c r="B14" s="5" t="s">
        <v>96</v>
      </c>
      <c r="C14" s="5" t="s">
        <v>33</v>
      </c>
      <c r="D14" s="5" t="s">
        <v>69</v>
      </c>
      <c r="E14" s="5" t="s">
        <v>97</v>
      </c>
    </row>
    <row r="15">
      <c r="A15" s="4" t="s">
        <v>23</v>
      </c>
      <c r="B15" s="5" t="s">
        <v>98</v>
      </c>
      <c r="C15" s="5" t="s">
        <v>99</v>
      </c>
      <c r="D15" s="14">
        <v>46317.0</v>
      </c>
      <c r="E15" s="5" t="s">
        <v>100</v>
      </c>
    </row>
    <row r="16">
      <c r="A16" s="4" t="s">
        <v>24</v>
      </c>
      <c r="B16" s="5" t="s">
        <v>101</v>
      </c>
      <c r="C16" s="5" t="s">
        <v>102</v>
      </c>
      <c r="D16" s="5" t="s">
        <v>103</v>
      </c>
      <c r="E16" s="5" t="s">
        <v>104</v>
      </c>
    </row>
    <row r="17">
      <c r="A17" s="10" t="s">
        <v>28</v>
      </c>
      <c r="B17" s="5" t="s">
        <v>106</v>
      </c>
      <c r="C17" s="5" t="s">
        <v>65</v>
      </c>
      <c r="D17" s="14">
        <v>46318.0</v>
      </c>
      <c r="E17" s="5" t="s">
        <v>107</v>
      </c>
    </row>
    <row r="18">
      <c r="A18" s="10" t="s">
        <v>30</v>
      </c>
      <c r="B18" s="5" t="s">
        <v>108</v>
      </c>
      <c r="C18" s="5" t="s">
        <v>33</v>
      </c>
      <c r="D18" s="5" t="s">
        <v>73</v>
      </c>
      <c r="E18" s="5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6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57"/>
    <col customWidth="1" min="2" max="2" width="93.0"/>
    <col customWidth="1" min="3" max="26" width="8.71"/>
  </cols>
  <sheetData>
    <row r="1">
      <c r="A1" s="2" t="s">
        <v>2</v>
      </c>
      <c r="B1" s="2" t="s">
        <v>8</v>
      </c>
    </row>
    <row r="2">
      <c r="A2" s="4" t="s">
        <v>15</v>
      </c>
      <c r="B2" s="5" t="s">
        <v>25</v>
      </c>
    </row>
    <row r="3">
      <c r="A3" s="4" t="s">
        <v>29</v>
      </c>
      <c r="B3" s="5" t="s">
        <v>31</v>
      </c>
    </row>
    <row r="4">
      <c r="A4" s="4" t="s">
        <v>34</v>
      </c>
      <c r="B4" s="5" t="s">
        <v>37</v>
      </c>
    </row>
    <row r="5">
      <c r="A5" s="4" t="s">
        <v>39</v>
      </c>
      <c r="B5" s="5" t="s">
        <v>40</v>
      </c>
    </row>
    <row r="6">
      <c r="A6" s="4" t="s">
        <v>43</v>
      </c>
      <c r="B6" s="5" t="s">
        <v>46</v>
      </c>
    </row>
    <row r="7">
      <c r="A7" s="4" t="s">
        <v>49</v>
      </c>
      <c r="B7" s="5" t="s">
        <v>51</v>
      </c>
    </row>
    <row r="8">
      <c r="A8" s="10" t="s">
        <v>55</v>
      </c>
      <c r="B8" s="5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7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48.71"/>
    <col customWidth="1" min="3" max="3" width="21.57"/>
    <col customWidth="1" min="4" max="4" width="18.71"/>
    <col customWidth="1" min="5" max="5" width="64.43"/>
  </cols>
  <sheetData>
    <row r="1">
      <c r="A1" s="3" t="s">
        <v>7</v>
      </c>
      <c r="B1" s="3" t="s">
        <v>20</v>
      </c>
      <c r="C1" s="3" t="s">
        <v>27</v>
      </c>
      <c r="D1" s="3" t="s">
        <v>32</v>
      </c>
      <c r="E1" s="3" t="s">
        <v>36</v>
      </c>
    </row>
    <row r="2">
      <c r="A2" s="7" t="s">
        <v>44</v>
      </c>
      <c r="B2" s="9" t="s">
        <v>53</v>
      </c>
      <c r="C2" s="22">
        <f>IFERROR(__xludf.DUMMYFUNCTION("COUNTBLANK(EVC_Records!A2:A8)+(COUNTA(EVC_Records!A2:A8)-COUNTUNIQUE(EVC_Records!A2:A8))"),0.0)</f>
        <v>0</v>
      </c>
      <c r="D2" s="32" t="str">
        <f t="shared" ref="D2:D10" si="1">IF(C2=0,"PASS","FAIL")</f>
        <v>PASS</v>
      </c>
      <c r="E2" s="9" t="s">
        <v>127</v>
      </c>
    </row>
    <row r="3">
      <c r="A3" s="7" t="s">
        <v>128</v>
      </c>
      <c r="B3" s="9" t="s">
        <v>131</v>
      </c>
      <c r="C3" s="22">
        <f>COUNTBLANK(EVC_Records!B2:B8)+COUNTIF(EVC_Records!B2:B8,"&lt;&gt;APP*")</f>
        <v>0</v>
      </c>
      <c r="D3" s="32" t="str">
        <f t="shared" si="1"/>
        <v>PASS</v>
      </c>
      <c r="E3" s="9" t="s">
        <v>144</v>
      </c>
    </row>
    <row r="4">
      <c r="A4" s="7" t="s">
        <v>145</v>
      </c>
      <c r="B4" s="9" t="s">
        <v>146</v>
      </c>
      <c r="C4" s="22">
        <f>COUNTBLANK(EVC_Records!C2:C8)+COUNTIF(EVC_Records!C2:C8,"&lt;&gt;INST*")</f>
        <v>0</v>
      </c>
      <c r="D4" s="32" t="str">
        <f t="shared" si="1"/>
        <v>PASS</v>
      </c>
      <c r="E4" s="9" t="s">
        <v>147</v>
      </c>
    </row>
    <row r="5">
      <c r="A5" s="7" t="s">
        <v>148</v>
      </c>
      <c r="B5" s="9" t="s">
        <v>149</v>
      </c>
      <c r="C5" s="22">
        <f>COUNTIF(EVC_Records!I2:I8,"&gt;2026-10-25")+COUNTIF(EVC_Records!P2:P8,"&gt;2026-10-25")</f>
        <v>0</v>
      </c>
      <c r="D5" s="32" t="str">
        <f t="shared" si="1"/>
        <v>PASS</v>
      </c>
      <c r="E5" s="9" t="s">
        <v>150</v>
      </c>
    </row>
    <row r="6">
      <c r="A6" s="7" t="s">
        <v>151</v>
      </c>
      <c r="B6" s="9" t="s">
        <v>152</v>
      </c>
      <c r="C6" s="22">
        <f>COUNTIFS(EVC_Records!L2:L8,"RESCHEDULED",EVC_Records!N2:N8,"")+COUNTIFS(EVC_Records!L2:L8,"RESCHEDULED",EVC_Records!O2:O8,"")</f>
        <v>0</v>
      </c>
      <c r="D6" s="32" t="str">
        <f t="shared" si="1"/>
        <v>PASS</v>
      </c>
      <c r="E6" s="9" t="s">
        <v>153</v>
      </c>
    </row>
    <row r="7">
      <c r="A7" s="7" t="s">
        <v>154</v>
      </c>
      <c r="B7" s="9" t="s">
        <v>155</v>
      </c>
      <c r="C7" s="22">
        <f>SUMPRODUCT((EVC_Records!G2:G8&lt;EVC_Records!I2:I8)*(EVC_Records!G2:G8&lt;&gt;""))</f>
        <v>0</v>
      </c>
      <c r="D7" s="32" t="str">
        <f t="shared" si="1"/>
        <v>PASS</v>
      </c>
      <c r="E7" s="9" t="s">
        <v>156</v>
      </c>
    </row>
    <row r="8">
      <c r="A8" s="7" t="s">
        <v>157</v>
      </c>
      <c r="B8" s="9" t="s">
        <v>158</v>
      </c>
      <c r="C8" s="22">
        <f>COUNTIFS(EVC_Records!L2:L8,"SCHEDULED",EVC_Records!M2:M8,"&lt;&gt;Not started")+COUNTIFS(EVC_Records!L2:L8,"REPORT_SUBMITTED",EVC_Records!M2:M8,"&lt;&gt;Submitted")+COUNTIFS(EVC_Records!L2:L8,"REPORT_REVIEWED",EVC_Records!M2:M8,"&lt;&gt;Reviewed")</f>
        <v>0</v>
      </c>
      <c r="D8" s="32" t="str">
        <f t="shared" si="1"/>
        <v>PASS</v>
      </c>
      <c r="E8" s="9" t="s">
        <v>159</v>
      </c>
    </row>
    <row r="9">
      <c r="A9" s="7" t="s">
        <v>160</v>
      </c>
      <c r="B9" s="9" t="s">
        <v>161</v>
      </c>
      <c r="C9" s="22">
        <f>COUNTBLANK(EVC_Records!E2:E8)+COUNTIFS(EVC_Records!D2:D8,"Extension of Approval",EVC_Records!E2:E8,"ROUTE_CONFIGURED_MANDATORY")</f>
        <v>0</v>
      </c>
      <c r="D9" s="32" t="str">
        <f t="shared" si="1"/>
        <v>PASS</v>
      </c>
      <c r="E9" s="9" t="s">
        <v>163</v>
      </c>
    </row>
    <row r="10">
      <c r="A10" s="36" t="s">
        <v>164</v>
      </c>
      <c r="B10" s="36" t="s">
        <v>165</v>
      </c>
      <c r="C10" s="38">
        <f>SUM(C2:C9)</f>
        <v>0</v>
      </c>
      <c r="D10" s="40" t="str">
        <f t="shared" si="1"/>
        <v>PASS</v>
      </c>
      <c r="E10" s="36" t="s">
        <v>171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5.43"/>
    <col customWidth="1" min="3" max="3" width="16.57"/>
    <col customWidth="1" min="4" max="4" width="26.86"/>
    <col customWidth="1" min="5" max="5" width="40.57"/>
    <col customWidth="1" min="6" max="6" width="43.0"/>
  </cols>
  <sheetData>
    <row r="1" ht="22.5" customHeight="1">
      <c r="A1" s="37" t="s">
        <v>162</v>
      </c>
      <c r="B1" s="37" t="s">
        <v>166</v>
      </c>
      <c r="C1" s="37" t="s">
        <v>167</v>
      </c>
      <c r="D1" s="37" t="s">
        <v>168</v>
      </c>
      <c r="E1" s="37" t="s">
        <v>169</v>
      </c>
      <c r="F1" s="39" t="s">
        <v>170</v>
      </c>
    </row>
    <row r="2" ht="22.5" customHeight="1">
      <c r="A2" s="41" t="s">
        <v>35</v>
      </c>
      <c r="B2" s="41" t="s">
        <v>42</v>
      </c>
      <c r="C2" s="41" t="s">
        <v>45</v>
      </c>
      <c r="D2" s="42" t="s">
        <v>48</v>
      </c>
      <c r="E2" s="41" t="s">
        <v>172</v>
      </c>
      <c r="F2" s="43" t="s">
        <v>173</v>
      </c>
    </row>
    <row r="3" ht="22.5" customHeight="1">
      <c r="A3" s="41" t="s">
        <v>75</v>
      </c>
      <c r="B3" s="41" t="s">
        <v>77</v>
      </c>
      <c r="C3" s="41" t="s">
        <v>78</v>
      </c>
      <c r="D3" s="42" t="s">
        <v>79</v>
      </c>
      <c r="E3" s="41" t="s">
        <v>172</v>
      </c>
      <c r="F3" s="43" t="s">
        <v>174</v>
      </c>
    </row>
    <row r="4" ht="22.5" customHeight="1">
      <c r="A4" s="41" t="s">
        <v>89</v>
      </c>
      <c r="B4" s="41" t="s">
        <v>92</v>
      </c>
      <c r="C4" s="41" t="s">
        <v>93</v>
      </c>
      <c r="D4" s="42" t="s">
        <v>95</v>
      </c>
      <c r="E4" s="41" t="s">
        <v>172</v>
      </c>
      <c r="F4" s="43" t="s">
        <v>175</v>
      </c>
    </row>
    <row r="5" ht="22.5" customHeight="1">
      <c r="A5" s="41" t="s">
        <v>111</v>
      </c>
      <c r="B5" s="41" t="s">
        <v>112</v>
      </c>
      <c r="C5" s="41" t="s">
        <v>113</v>
      </c>
      <c r="D5" s="42" t="s">
        <v>48</v>
      </c>
      <c r="E5" s="41" t="s">
        <v>172</v>
      </c>
      <c r="F5" s="43" t="s">
        <v>176</v>
      </c>
    </row>
    <row r="6" ht="22.5" customHeight="1">
      <c r="A6" s="41" t="s">
        <v>120</v>
      </c>
      <c r="B6" s="41" t="s">
        <v>121</v>
      </c>
      <c r="C6" s="41" t="s">
        <v>122</v>
      </c>
      <c r="D6" s="42" t="s">
        <v>79</v>
      </c>
      <c r="E6" s="41" t="s">
        <v>172</v>
      </c>
      <c r="F6" s="43" t="s">
        <v>177</v>
      </c>
    </row>
    <row r="7" ht="22.5" customHeight="1">
      <c r="A7" s="41" t="s">
        <v>130</v>
      </c>
      <c r="B7" s="41" t="s">
        <v>132</v>
      </c>
      <c r="C7" s="41" t="s">
        <v>133</v>
      </c>
      <c r="D7" s="42" t="s">
        <v>95</v>
      </c>
      <c r="E7" s="41" t="s">
        <v>172</v>
      </c>
      <c r="F7" s="43" t="s">
        <v>178</v>
      </c>
    </row>
    <row r="8" ht="22.5" customHeight="1">
      <c r="A8" s="41" t="s">
        <v>138</v>
      </c>
      <c r="B8" s="41" t="s">
        <v>139</v>
      </c>
      <c r="C8" s="41" t="s">
        <v>140</v>
      </c>
      <c r="D8" s="42" t="s">
        <v>48</v>
      </c>
      <c r="E8" s="41" t="s">
        <v>172</v>
      </c>
      <c r="F8" s="43" t="s">
        <v>179</v>
      </c>
    </row>
  </sheetData>
  <drawing r:id="rId1"/>
  <tableParts count="1">
    <tablePart r:id="rId3"/>
  </tableParts>
</worksheet>
</file>