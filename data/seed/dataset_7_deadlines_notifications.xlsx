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dlines" sheetId="1" r:id="rId5"/>
    <sheet state="visible" name="Notifications" sheetId="2" r:id="rId6"/>
    <sheet state="visible" name="Data_Dictionary" sheetId="3" r:id="rId7"/>
    <sheet state="visible" name="Read_Me" sheetId="4" r:id="rId8"/>
    <sheet state="visible" name="Validation_Report" sheetId="5" r:id="rId9"/>
  </sheets>
  <definedNames>
    <definedName hidden="1" localSheetId="0" name="_xlnm._FilterDatabase">Deadlines!$A$1:$R$25</definedName>
    <definedName hidden="1" localSheetId="1" name="_xlnm._FilterDatabase">Notifications!$A$1:$O$30</definedName>
    <definedName hidden="1" localSheetId="2" name="_xlnm._FilterDatabase">Data_Dictionary!$A$1:$E$34</definedName>
    <definedName hidden="1" localSheetId="3" name="_xlnm._FilterDatabase">Read_Me!$A$1:$D$25</definedName>
  </definedNames>
  <calcPr/>
</workbook>
</file>

<file path=xl/sharedStrings.xml><?xml version="1.0" encoding="utf-8"?>
<sst xmlns="http://schemas.openxmlformats.org/spreadsheetml/2006/main" count="1111" uniqueCount="675">
  <si>
    <t>deadline_id</t>
  </si>
  <si>
    <t>notification_id</t>
  </si>
  <si>
    <t>Table_Name</t>
  </si>
  <si>
    <t>related_entity_type</t>
  </si>
  <si>
    <t>related_entity_id</t>
  </si>
  <si>
    <t>application_id</t>
  </si>
  <si>
    <t>institution_id</t>
  </si>
  <si>
    <t>deadline_category</t>
  </si>
  <si>
    <t>deadline_description</t>
  </si>
  <si>
    <t>assigned_role</t>
  </si>
  <si>
    <t>Field_Name</t>
  </si>
  <si>
    <t>due_date</t>
  </si>
  <si>
    <t>Data_Type</t>
  </si>
  <si>
    <t>recipient_role</t>
  </si>
  <si>
    <t>deadline_status</t>
  </si>
  <si>
    <t>Constraints_And_Allowed_Values</t>
  </si>
  <si>
    <t>notification_title</t>
  </si>
  <si>
    <t>last_evaluated_date</t>
  </si>
  <si>
    <t>Description</t>
  </si>
  <si>
    <t>message_body</t>
  </si>
  <si>
    <t>completion_cancellation_date</t>
  </si>
  <si>
    <t>trigger_reason</t>
  </si>
  <si>
    <t>dispatch_timestamp</t>
  </si>
  <si>
    <t>escalation_policy</t>
  </si>
  <si>
    <t>source_reference</t>
  </si>
  <si>
    <t>Section</t>
  </si>
  <si>
    <t>read_status</t>
  </si>
  <si>
    <t>is_demo_rule</t>
  </si>
  <si>
    <t>notes</t>
  </si>
  <si>
    <t>Topic</t>
  </si>
  <si>
    <t>Specification_Value</t>
  </si>
  <si>
    <t>Operational_Guidance</t>
  </si>
  <si>
    <t>read_timestamp</t>
  </si>
  <si>
    <t>Deadlines</t>
  </si>
  <si>
    <t>delivery_channel</t>
  </si>
  <si>
    <t>deduplication_key</t>
  </si>
  <si>
    <t>notification_status</t>
  </si>
  <si>
    <t>DDL-2026-001</t>
  </si>
  <si>
    <t>event_source</t>
  </si>
  <si>
    <t>String</t>
  </si>
  <si>
    <t>UNDERTAKING</t>
  </si>
  <si>
    <t>UND-2026-010</t>
  </si>
  <si>
    <t>Primary Key; Format DDL-YYYY-NNN; Not Null</t>
  </si>
  <si>
    <t>APP001</t>
  </si>
  <si>
    <t>Project Metadata</t>
  </si>
  <si>
    <t>Unique alphanumeric identifier for each regulatory deadline record.</t>
  </si>
  <si>
    <t>INST001</t>
  </si>
  <si>
    <t>EVC_READINESS</t>
  </si>
  <si>
    <t>Inspection scheduling and physical lab readiness inspection window</t>
  </si>
  <si>
    <t>NOTIF-2026-001</t>
  </si>
  <si>
    <t>ROLE_EVC_EXPERT</t>
  </si>
  <si>
    <t>EVC Inspection Visit Scheduled</t>
  </si>
  <si>
    <t>On-site physical inspection scheduled for Apex Institute on Oct 28. Review checklist.</t>
  </si>
  <si>
    <t>Project Scope</t>
  </si>
  <si>
    <t>Dataset 7 (Deadlines, Notifications, Escalations)</t>
  </si>
  <si>
    <t>AICTE regulatory approval workflow engine compliance and deadline management test suite.</t>
  </si>
  <si>
    <t>UNDERTAKING, DEFICIENCY_NOTICE, EVC_INSPECTION, ANNUAL_EOA, APPEAL_PETITION, CLOSURE_REQUEST, TER_PAYMENT, TRUST_AFFIDAVIT, HIBERNATION_REQUEST, DESK_VERIFICATION, SCRUTINY_REVIEW, MULTI_YEAR_APPROVAL, MULTI_YEAR_EOA, INSPECTION_ORDER, WITHDRAWAL_REQUEST, RESTRUCTURING_PLAN, DESK_SCRUTINY; Not Null</t>
  </si>
  <si>
    <t>High-level business entity type linked to the compliance deadline.</t>
  </si>
  <si>
    <t>Evaluation Baseline</t>
  </si>
  <si>
    <t>Baseline Reference Date</t>
  </si>
  <si>
    <t>2026-10-25 (Fixed Reference Date)</t>
  </si>
  <si>
    <t>All SLA timer calculations, remaining days, and status determinations are evaluated as of 2026-10-25.</t>
  </si>
  <si>
    <t>STAGE_ENTRY</t>
  </si>
  <si>
    <t>Alphanumeric identifier; Not Null (UND-2026-NNN verified in Dataset 5; 14 non-undertakings are illustrative fixtures)</t>
  </si>
  <si>
    <t>Specific record ID corresponding to related_entity_type (e.g., UND-*, EVC-*, EOA-*).</t>
  </si>
  <si>
    <t>Timezone &amp; Calendar</t>
  </si>
  <si>
    <t>Foreign Key -&gt; Dataset 2 Applications.application_id (APP001–APP025); Not Null</t>
  </si>
  <si>
    <t>IST (UTC+05:30) / Calendar Days</t>
  </si>
  <si>
    <t>AICTE application tracking reference number associated with this deadline.</t>
  </si>
  <si>
    <t>Turnaround times follow calendar day standards per AICTE Approval Process Handbook (APH 2024-27).</t>
  </si>
  <si>
    <t>Governance Rule</t>
  </si>
  <si>
    <t>Alert-Only Enforcement</t>
  </si>
  <si>
    <t>Non-Automatic Disposition Policy</t>
  </si>
  <si>
    <t>Missed deadlines trigger administrative and supervisory alerts; they never cause automatic official approval or rejection.</t>
  </si>
  <si>
    <t>UPCOMING</t>
  </si>
  <si>
    <t>Foreign Key -&gt; Dataset 1 Selected_Institutions.Institution_ID_Mapping (INST001–INST015); Not Null</t>
  </si>
  <si>
    <t>AICTE permanent institutional identification number.</t>
  </si>
  <si>
    <t>Illustrative Demo Rules</t>
  </si>
  <si>
    <t>READ</t>
  </si>
  <si>
    <t>is_demo_rule = TRUE / Illustrative</t>
  </si>
  <si>
    <t>Unverified statutory deadlines and escalation policies are marked illustrative to support prototype simulation.</t>
  </si>
  <si>
    <t>EMAIL</t>
  </si>
  <si>
    <t>APP1001-DDL001-EVC_SCHED-20261014</t>
  </si>
  <si>
    <t>ALERT_ONLY_LEVEL_1</t>
  </si>
  <si>
    <t>APH_2024_27_CH4_SLA</t>
  </si>
  <si>
    <t>Deadline Lifecycle</t>
  </si>
  <si>
    <t>UPCOMING Status</t>
  </si>
  <si>
    <t>Due Date &gt; 2026-10-25 (+3 days or more)</t>
  </si>
  <si>
    <t>Illustrative rule; 4 days remaining in readiness window.</t>
  </si>
  <si>
    <t>SLA window active within standard processing times; routine notifications dispatched per schedule.</t>
  </si>
  <si>
    <t>DEFICIENCY_RECTIFICATION, EVC_READINESS, TER_FEE_PAYMENT, AFFIDAVIT_SUBMISSION, SAC_APPEAL_HEARING, EC_DETERMINATION, ANNUAL_RENEWAL, DESK_VERIFICATION, RO_ENDORSEMENT, HIBERNATION_OVERHAUL, LOA_DISPATCH, UNAPPROVED_SUBLEASE, VOLUNTARY_WITHDRAWAL, EVC_SCHEDULING, MULTI_YEAR_EOA, EVC_INSPECTION_WINDOW, WORK_PROF_VERIFICATION, DESK_SCRUTINY_ASSIGN, EVC_REPORT_TRANSMISSION, DEFICIENCY_SLA_ELAPSED; Not Null</t>
  </si>
  <si>
    <t>Standardized functional classification category of the regulatory deadline.</t>
  </si>
  <si>
    <t>DUE Status</t>
  </si>
  <si>
    <t>DELIVERED</t>
  </si>
  <si>
    <t>Due Date in [2026-10-25, 2026-10-27]</t>
  </si>
  <si>
    <t>SEEDED</t>
  </si>
  <si>
    <t>Approaching turnaround limit (0 to 2 days remaining); urgent compliance or officer action required.</t>
  </si>
  <si>
    <t>Seeded baseline notification; inspection panel dispatched.</t>
  </si>
  <si>
    <t>DDL-2026-002</t>
  </si>
  <si>
    <t>UND-2026-004</t>
  </si>
  <si>
    <t>NOTIF-2026-002</t>
  </si>
  <si>
    <t>APP002</t>
  </si>
  <si>
    <t>Free text narrative; Not Null</t>
  </si>
  <si>
    <t>INST002</t>
  </si>
  <si>
    <t>OVERDUE Status</t>
  </si>
  <si>
    <t>Operational explanation of the required compliance task, submission, or review.</t>
  </si>
  <si>
    <t>DEFICIENCY_RECTIFICATION</t>
  </si>
  <si>
    <t>Due Date &lt; 2026-10-25 &amp; Action Pending</t>
  </si>
  <si>
    <t>Upload rectified Fire Safety NOC and faculty cadre ratio proof</t>
  </si>
  <si>
    <t>Standard SLA turnaround exceeded without formal submission; triggers tier-2 supervisory warning alert.</t>
  </si>
  <si>
    <t>ROLE_INSTITUTION_ADMIN</t>
  </si>
  <si>
    <t>Laboratory Readiness Check Confirmed</t>
  </si>
  <si>
    <t>Readiness affidavit acknowledged. Ensure all laboratories and signage are accessible.</t>
  </si>
  <si>
    <t>SLA_WARNING</t>
  </si>
  <si>
    <t>COMPLETED Status</t>
  </si>
  <si>
    <t>Formally Cleared / Approved</t>
  </si>
  <si>
    <t>UNREAD</t>
  </si>
  <si>
    <t>PORTAL_ALERT</t>
  </si>
  <si>
    <t>Action concluded on schedule (e.g., EoA order issued, ODL cleared, LoA dispatched); terminal state.</t>
  </si>
  <si>
    <t>APP1001-DDL001-READINESS-20261024</t>
  </si>
  <si>
    <t>Foreign Key -&gt; Role_Permissions.Role_Code (Canonical: ROLE_INSTITUTION_ADMIN, ROLE_RO_CASE_WORKER, ROLE_SCRUTINY_MEMBER, ROLE_REGIONAL_OFFICER, ROLE_APPROVAL_BUREAU, ROLE_EXECUTIVE_COMMITTEE, ROLE_EVC_EXPERT, ROLE_SAC_CHAIR); Not Null</t>
  </si>
  <si>
    <t>Designated stakeholder role accountable for executing or resolving deadline action.</t>
  </si>
  <si>
    <t>SENT</t>
  </si>
  <si>
    <t>PROTOTYPE_GENERATED</t>
  </si>
  <si>
    <t>Prototype event; alert pending institution admin acknowledgement.</t>
  </si>
  <si>
    <t>APH_2024_27_CH2_DEF</t>
  </si>
  <si>
    <t>CANCELLED Status</t>
  </si>
  <si>
    <t>Application Terminated / Withdrawn</t>
  </si>
  <si>
    <t>Illustrative rule; 3 days remaining for deficiency upload.</t>
  </si>
  <si>
    <t>NOTIF-2026-003</t>
  </si>
  <si>
    <t>Compliance timer voided due to application rejection or voluntary trust withdrawal resolution.</t>
  </si>
  <si>
    <t>Date</t>
  </si>
  <si>
    <t>Format: YYYY-MM-DD; Not Null</t>
  </si>
  <si>
    <t>Deficiency Notice: Fire NOC &amp; Cadre Ratio</t>
  </si>
  <si>
    <t>DDL-2026-003</t>
  </si>
  <si>
    <t>Calendar target date by which the regulatory action must be finalized.</t>
  </si>
  <si>
    <t>ANNUAL_EOA</t>
  </si>
  <si>
    <t>Scrutiny flagged Fire NOC and cadre ratio certificate. Upload compliance by Oct 28.</t>
  </si>
  <si>
    <t>EOA-2026-1003</t>
  </si>
  <si>
    <t>DEFICIENCY_FLAGGED</t>
  </si>
  <si>
    <t>APP003</t>
  </si>
  <si>
    <t>ESCALATED Status</t>
  </si>
  <si>
    <t>INST003</t>
  </si>
  <si>
    <t>Formally Referred to SAC / RO</t>
  </si>
  <si>
    <t>ANNUAL_RENEWAL</t>
  </si>
  <si>
    <t>SLA breached and case escalated to higher administrative authority (e.g., Standing Appellate Committee).</t>
  </si>
  <si>
    <t>Routine annual EoA order generation and administrative closure</t>
  </si>
  <si>
    <t>APP1002-DDL002-DEF_NOTICE-20261018</t>
  </si>
  <si>
    <t>ROLE_EXECUTIVE_COMMITTEE</t>
  </si>
  <si>
    <t>UPCOMING, DUE, OVERDUE, COMPLETED, CANCELLED, ESCALATED; Not Null</t>
  </si>
  <si>
    <t>Escalation Framework</t>
  </si>
  <si>
    <t>Lifecycle status evaluated relative to baseline date 2026-10-25.</t>
  </si>
  <si>
    <t>COMPLETED</t>
  </si>
  <si>
    <t>Seeded notification; deficiency compliance ticket opened.</t>
  </si>
  <si>
    <t>Advisory Notice (T - 2 Days / Due Date)</t>
  </si>
  <si>
    <t>Dispatches advisory reminder to primary role via Portal Alert or System Bell without restricting access.</t>
  </si>
  <si>
    <t>NOTIF-2026-004</t>
  </si>
  <si>
    <t>NONE</t>
  </si>
  <si>
    <t>APH_2024_27_CH1_EOA</t>
  </si>
  <si>
    <t>5 Days Remaining: Deficiency Compliance</t>
  </si>
  <si>
    <t>ALERT_ONLY_LEVEL_2</t>
  </si>
  <si>
    <t>Supervisory Warning (T - 24 Hours / Overdue)</t>
  </si>
  <si>
    <t>Reminder: 5 days remaining to rectify flagged deficiencies for intake expansion.</t>
  </si>
  <si>
    <t>DateTime</t>
  </si>
  <si>
    <t>Dispatches high-priority alert to Regional Officer or Institution Admin via SMS, Email, and Portal Alert.</t>
  </si>
  <si>
    <t>Format: YYYY-MM-DD HH:MM:SS; Baseline 2026-10-25 10:00:00; Not Null</t>
  </si>
  <si>
    <t>Timestamp when compliance SLA timer and lifecycle state were last evaluated.</t>
  </si>
  <si>
    <t>APP1002-DDL002-DEF_REMIND-20261023</t>
  </si>
  <si>
    <t>ALERT_ONLY_SAC_NOTICE</t>
  </si>
  <si>
    <t>Appellate Docket Referral</t>
  </si>
  <si>
    <t>Automatic referral of elapsed deficiency or dispute to Standing Appellate Committee hearing docket.</t>
  </si>
  <si>
    <t>Prototype automated SLA reminder.</t>
  </si>
  <si>
    <t>Format: YYYY-MM-DD; Nullable</t>
  </si>
  <si>
    <t>Date on which the deadline was marked COMPLETED or CANCELLED, if applicable.</t>
  </si>
  <si>
    <t>Event Tracking</t>
  </si>
  <si>
    <t>NOTIF-2026-005</t>
  </si>
  <si>
    <t>Event Source Types</t>
  </si>
  <si>
    <t>SEEDED vs. PROTOTYPE_GENERATED</t>
  </si>
  <si>
    <t>Distinguishes synthetic baseline fixture notifications from dynamic events generated by prototype runtime.</t>
  </si>
  <si>
    <t>Annual EoA 2026-27 Dispatched</t>
  </si>
  <si>
    <t>Formal Extension of Approval for AY 2026-27 has been issued and digitally signed.</t>
  </si>
  <si>
    <t>APPROVAL_ISSUED</t>
  </si>
  <si>
    <t>NONE, ALERT_ONLY_LEVEL_1, ALERT_ONLY_LEVEL_2, ALERT_ONLY_SAC_NOTICE; Not Null</t>
  </si>
  <si>
    <t>Configured administrative policy tier; alert-only notice without automated approval/rejection.</t>
  </si>
  <si>
    <t>APP1003-DDL003-EOA_ISSUED-20261001</t>
  </si>
  <si>
    <t>RECORDED</t>
  </si>
  <si>
    <t>Seeded completion event; digital EoA certificate attached.</t>
  </si>
  <si>
    <t>Regulatory standard code or handbook citation; Not Null</t>
  </si>
  <si>
    <t>Reference to AICTE Approval Process Handbook (APH 2024-27) or manual section.</t>
  </si>
  <si>
    <t>NOTIF-2026-006</t>
  </si>
  <si>
    <t>Deduplication Protocol</t>
  </si>
  <si>
    <t>DDL-2026-004</t>
  </si>
  <si>
    <t>{APP_ID}-{DDL_ID}-{EVENT}-{DATE}</t>
  </si>
  <si>
    <t>Stable idempotency key preventing duplicate alert dispatch across omnichannel webhooks and job retries.</t>
  </si>
  <si>
    <t>Boolean</t>
  </si>
  <si>
    <t>TRUE, FALSE; Not Null</t>
  </si>
  <si>
    <t>Flag marking synthetic rules and demo fixtures developed for prototype testing.</t>
  </si>
  <si>
    <t>Communication Channels</t>
  </si>
  <si>
    <t>Multi-Channel Dispatch</t>
  </si>
  <si>
    <t>PORTAL_ALERT, EMAIL, SMS, BELL</t>
  </si>
  <si>
    <t>Omnichannel delivery matrix ensuring notification reach across applicant admins and Council officers.</t>
  </si>
  <si>
    <t>Free text; Nullable</t>
  </si>
  <si>
    <t>Operational notes, context, or audit observations regarding deadline progress.</t>
  </si>
  <si>
    <t>Completed on schedule; official EoA issued.</t>
  </si>
  <si>
    <t>Audit &amp; Non-Repudiation</t>
  </si>
  <si>
    <t>Read State Tracking</t>
  </si>
  <si>
    <t>READ / UNREAD + Timestamp</t>
  </si>
  <si>
    <t>Read timestamp recorded upon user opening or acknowledging notification; provides regulatory audit trail.</t>
  </si>
  <si>
    <t>Notifications</t>
  </si>
  <si>
    <t>UND-2026-005</t>
  </si>
  <si>
    <t>APP004</t>
  </si>
  <si>
    <t>INST004</t>
  </si>
  <si>
    <t>Primary Key; Format NOTIF-YYYY-NNN; Not Null</t>
  </si>
  <si>
    <t>Relational Integrity</t>
  </si>
  <si>
    <t>SCRUTINY_EVALUATION</t>
  </si>
  <si>
    <t>Canonical Dataset Lineage</t>
  </si>
  <si>
    <t>Unique alphanumeric identifier for each system communication event.</t>
  </si>
  <si>
    <t>Scrutiny panel review of MBA faculty cadre ratio and syllabus norms</t>
  </si>
  <si>
    <t>Dataset 1 (INST001–INST015) &amp; Dataset 2 (APP001–APP025)</t>
  </si>
  <si>
    <t>ROLE_SCRUTINY_MEMBER</t>
  </si>
  <si>
    <t>All application IDs reconciled to canonical APP001–APP024 and institution IDs to master INST001–INST015 per Dataset 2 master pairings.</t>
  </si>
  <si>
    <t>DUE</t>
  </si>
  <si>
    <t>Related Entity Audit</t>
  </si>
  <si>
    <t>10 Matched Undertakings / 14 Synthetic Fixtures</t>
  </si>
  <si>
    <t>All 10 undertaking deadlines map 100% to Dataset 5. Non-undertaking references (EVC, EOA, SAC) documented as illustrative scenario fixtures.</t>
  </si>
  <si>
    <t>Foreign Key -&gt; Deadlines.deadline_id; Not Null</t>
  </si>
  <si>
    <t>APH_2024_27_CH3_SCRUTINY</t>
  </si>
  <si>
    <t>Associated regulatory deadline record triggering this notification event.</t>
  </si>
  <si>
    <t>Illustrative rule; due today (0 days remaining).</t>
  </si>
  <si>
    <t>Data Hygiene Rules</t>
  </si>
  <si>
    <t>Key Uniqueness &amp; Constraints</t>
  </si>
  <si>
    <t>DDL-YYYY-NNN &amp; NOTIF-YYYY-NNN</t>
  </si>
  <si>
    <t>Strict primary key uniqueness and non-null constraints enforced across all active grid records.</t>
  </si>
  <si>
    <t>DDL-2026-005</t>
  </si>
  <si>
    <t>MULTI_YEAR_APPROVAL</t>
  </si>
  <si>
    <t>MYA-2026-1005</t>
  </si>
  <si>
    <t>APP005</t>
  </si>
  <si>
    <t>INST005</t>
  </si>
  <si>
    <t>EC_DETERMINATION</t>
  </si>
  <si>
    <t>Referenced AICTE application tracking ID.</t>
  </si>
  <si>
    <t>Quality Assurance</t>
  </si>
  <si>
    <t>Executive Committee 3-year multi-year EoA final approval order</t>
  </si>
  <si>
    <t>Validation Suite</t>
  </si>
  <si>
    <t>Validation_Report Tab Integration</t>
  </si>
  <si>
    <t>Live formula-driven audit tab scanning for broken foreign keys, duplicate keys, and invalid states.</t>
  </si>
  <si>
    <t>Operational Safety</t>
  </si>
  <si>
    <t>Environment Isolation</t>
  </si>
  <si>
    <t>Synthetic Fixture Containment</t>
  </si>
  <si>
    <t>APH_2024_27_CH5_EC</t>
  </si>
  <si>
    <t>Test records decoupled from production PII; safe for developer demos, sandbox testing, and CI/CD pipelines.</t>
  </si>
  <si>
    <t>Recipient role to which the notification is directed.</t>
  </si>
  <si>
    <t>Scrutiny Evaluation Due Today</t>
  </si>
  <si>
    <t>Illustrative rule; 2 days remaining for EC docket sign-off.</t>
  </si>
  <si>
    <t>MBA proposal evaluation turnaround reaches 10-day SLA today. Submit checklist findings.</t>
  </si>
  <si>
    <t>SLA_EXPIRING</t>
  </si>
  <si>
    <t>Maintenance Protocol</t>
  </si>
  <si>
    <t>Periodic SLA Evaluation</t>
  </si>
  <si>
    <t>DDL-2026-006</t>
  </si>
  <si>
    <t>Daily Batch Job Cadence</t>
  </si>
  <si>
    <t>SYSTEM_BELL</t>
  </si>
  <si>
    <t>Automated cron job re-evaluates SLA timers daily at 00:00:00 IST to update statuses and dispatch alerts.</t>
  </si>
  <si>
    <t>APP1004-DDL004-SCRUT_DUE-20261025</t>
  </si>
  <si>
    <t>Text subject line; Not Null</t>
  </si>
  <si>
    <t>Prototype trigger on due date morning.</t>
  </si>
  <si>
    <t>Concise headline summarizing notification subject and priority.</t>
  </si>
  <si>
    <t>NOTIF-2026-007</t>
  </si>
  <si>
    <t>Text body; Not Null</t>
  </si>
  <si>
    <t>Detailed context and actionable instructions delivered to the user.</t>
  </si>
  <si>
    <t>STAGE_ENTRY, DEFICIENCY_FLAGGED, SLA_WARNING, SLA_EXPIRING, SLA_ELAPSED, APPROVAL_ISSUED, ESCALATION_TRIGGERED, ORDER_RECORDED, DOCUMENT_UPLOADED; Not Null</t>
  </si>
  <si>
    <t>Business event triggering dispatch of the alert.</t>
  </si>
  <si>
    <t>ROLE_RO_CASE_WORKER</t>
  </si>
  <si>
    <t>Operational Notice: Pending Scrutiny Review</t>
  </si>
  <si>
    <t>Application APP-2026-1004 scrutiny window closes today. Follow up with committee member.</t>
  </si>
  <si>
    <t>Format: YYYY-MM-DD HH:MM:SS; Not Null</t>
  </si>
  <si>
    <t>System date and time when the notification was created and dispatched.</t>
  </si>
  <si>
    <t>SMS</t>
  </si>
  <si>
    <t>APP1004-DDL004-REMIND_SMS-20261025</t>
  </si>
  <si>
    <t>READ, UNREAD; Not Null</t>
  </si>
  <si>
    <t>Prototype alert sent to regional desk case worker.</t>
  </si>
  <si>
    <t>Flag indicating whether notification has been opened/viewed by recipient.</t>
  </si>
  <si>
    <t>NOTIF-2026-008</t>
  </si>
  <si>
    <t>Format: YYYY-MM-DD HH:MM:SS; Nullable</t>
  </si>
  <si>
    <t>Date and time when recipient marked or viewed the notification.</t>
  </si>
  <si>
    <t>Placed on Executive Committee Agenda</t>
  </si>
  <si>
    <t>3-Year multi-year EoA recommendation tabled for Council quorum review on Oct 27.</t>
  </si>
  <si>
    <t>PORTAL_ALERT, EMAIL, SMS, SYSTEM_BELL; Not Null</t>
  </si>
  <si>
    <t>Medium through which notification was delivered.</t>
  </si>
  <si>
    <t>Format: {APP_ID}-{DDL_ID}-{EVENT}-{DATE}; Unique; Not Null</t>
  </si>
  <si>
    <t>Stable idempotency key preventing duplicate notification dispatches.</t>
  </si>
  <si>
    <t>APP1005-DDL005-EC_AGENDA-20261020</t>
  </si>
  <si>
    <t>Seeded EC agenda notice for multi-year EoA.</t>
  </si>
  <si>
    <t>SENT, DELIVERED, RECORDED, PENDING; Not Null</t>
  </si>
  <si>
    <t>Delivery lifecycle status of the communication event.</t>
  </si>
  <si>
    <t>NOTIF-2026-009</t>
  </si>
  <si>
    <t>APP006</t>
  </si>
  <si>
    <t>SEEDED, PROTOTYPE_GENERATED; Not Null</t>
  </si>
  <si>
    <t>Standing Appellate Hearing Notice</t>
  </si>
  <si>
    <t>Distinguishes synthetic seeded fixtures from dynamic prototype engine actions.</t>
  </si>
  <si>
    <t>Hearing scheduled before SAC bench on Oct 26 regarding disputed land setback area.</t>
  </si>
  <si>
    <t>APPEAL_PETITION</t>
  </si>
  <si>
    <t>SAC-2026-1006</t>
  </si>
  <si>
    <t>APP1006-DDL006-SAC_NOTICE-20261012</t>
  </si>
  <si>
    <t>Audit annotations regarding dispatch conditions or recipient interactions.</t>
  </si>
  <si>
    <t>INST006</t>
  </si>
  <si>
    <t>Seeded hearing summons; legal docket dispatched.</t>
  </si>
  <si>
    <t>SAC_APPEAL_HEARING</t>
  </si>
  <si>
    <t>Standing Appellate Committee bench hearing on disputed site setback area</t>
  </si>
  <si>
    <t>ROLE_SAC_CHAIR</t>
  </si>
  <si>
    <t>NOTIF-2026-010</t>
  </si>
  <si>
    <t>Validation_Report</t>
  </si>
  <si>
    <t>audit_id</t>
  </si>
  <si>
    <t>Primary Key; Format AUD-NNN; Not Null</t>
  </si>
  <si>
    <t>Unique identifier for each data integrity and relational validation check.</t>
  </si>
  <si>
    <t>AICTE_ACT_SEC12_SAC</t>
  </si>
  <si>
    <t>Appellate Hearing Brief Uploaded</t>
  </si>
  <si>
    <t>Applicant submitted additional land demarcation surveyor affidavit for hearing docket.</t>
  </si>
  <si>
    <t>validation_dimension</t>
  </si>
  <si>
    <t>DOCUMENT_UPLOADED</t>
  </si>
  <si>
    <t>RELATIONAL_INTEGRITY, DEDUPLICATION, STATE_CONSISTENCY, SCHEMA_CONFORMANCE, TEMPORAL_INTEGRITY; Not Null</t>
  </si>
  <si>
    <t>Category of data quality rule evaluated in the report.</t>
  </si>
  <si>
    <t>APP1006-DDL006-SAC_BENCH-20261024</t>
  </si>
  <si>
    <t>Prototype trigger upon applicant supplementary filing.</t>
  </si>
  <si>
    <t>check_description</t>
  </si>
  <si>
    <t>Text description; Not Null</t>
  </si>
  <si>
    <t>NOTIF-2026-011</t>
  </si>
  <si>
    <t>Plain-language description of relational or operational rule being verified.</t>
  </si>
  <si>
    <t>DDL-2026-007</t>
  </si>
  <si>
    <t>APP007</t>
  </si>
  <si>
    <t>Progressive Closure Order Ready</t>
  </si>
  <si>
    <t>Punjab Modern Polytechnic progressive closure endorsed by State DTE; order pending sign.</t>
  </si>
  <si>
    <t>source_table</t>
  </si>
  <si>
    <t>Deadlines, Notifications, Validation_Report; Not Null</t>
  </si>
  <si>
    <t>Primary table evaluated under this validation check.</t>
  </si>
  <si>
    <t>APP1007-DDL007-CLOSURE_EC-20261019</t>
  </si>
  <si>
    <t>Seeded docket notice for Council closure order.</t>
  </si>
  <si>
    <t>target_table</t>
  </si>
  <si>
    <t>Deadlines, Applications, Undertakings; Nullable</t>
  </si>
  <si>
    <t>Target related table used for referential integrity checks.</t>
  </si>
  <si>
    <t>NOTIF-2026-012</t>
  </si>
  <si>
    <t>DDL-2026-008</t>
  </si>
  <si>
    <t>APP008</t>
  </si>
  <si>
    <t>ROLE_APPROVAL_BUREAU</t>
  </si>
  <si>
    <t>formula_logic</t>
  </si>
  <si>
    <t>Sheets formula / SQL representation; Not Null</t>
  </si>
  <si>
    <t>Dynamic auditing logic executed to compute anomalies or violations.</t>
  </si>
  <si>
    <t>anomaly_count</t>
  </si>
  <si>
    <t>Integer</t>
  </si>
  <si>
    <t>&gt;= 0; Computed via COUNTIF/SUM; Not Null</t>
  </si>
  <si>
    <t>Number of records failing the validation check (0 = 100% compliant).</t>
  </si>
  <si>
    <t>check_status</t>
  </si>
  <si>
    <t>PASS, WARNING, FAIL; Not Null</t>
  </si>
  <si>
    <t>Automated pass/fail assessment based on computed anomaly count.</t>
  </si>
  <si>
    <t>resolution_action</t>
  </si>
  <si>
    <t>Text action guide; Not Null</t>
  </si>
  <si>
    <t>Required remediating action in case anomalies are identified.</t>
  </si>
  <si>
    <t>total_records_evaluated</t>
  </si>
  <si>
    <t>&gt;= 0; Not Null</t>
  </si>
  <si>
    <t>Total population of rows inspected during audit run.</t>
  </si>
  <si>
    <t>compliance_rate</t>
  </si>
  <si>
    <t>Percentage</t>
  </si>
  <si>
    <t>Format: 0.0%; Range: 0.0% to 100.0%; Not Null</t>
  </si>
  <si>
    <t>Percentage of evaluated records conforming strictly to the integrity rule.</t>
  </si>
  <si>
    <t>last_audit_timestamp</t>
  </si>
  <si>
    <t>Format: YYYY-MM-DD HH:MM:SS; Fixed 2026-10-25 10:00:00; Not Null</t>
  </si>
  <si>
    <t>Timestamp when the automated audit formulas were calculated.</t>
  </si>
  <si>
    <t>Illustrative rule; 1 day remaining before scheduled hearing.</t>
  </si>
  <si>
    <t>severity_level</t>
  </si>
  <si>
    <t>HIGH, MEDIUM, LOW; Not Null</t>
  </si>
  <si>
    <t>CLOSURE_REQUEST</t>
  </si>
  <si>
    <t>Operational severity assigned to failures under this audit category.</t>
  </si>
  <si>
    <t>CLR-2026-1007</t>
  </si>
  <si>
    <t>INST007</t>
  </si>
  <si>
    <t>Final Council progressive institutional closure determination</t>
  </si>
  <si>
    <t>APH_2024_27_CH8_CLOSURE</t>
  </si>
  <si>
    <t>Illustrative rule; 1 day remaining for closure verification.</t>
  </si>
  <si>
    <t>UND-2026-007</t>
  </si>
  <si>
    <t>INST008</t>
  </si>
  <si>
    <t>APPROVAL_DISPATCH</t>
  </si>
  <si>
    <t>Desk review verification dispatch to Executive Committee for ODL route</t>
  </si>
  <si>
    <t>APH_2024_27_CH6_ODL</t>
  </si>
  <si>
    <t>Completed on reference date; ODL verification dispatched.</t>
  </si>
  <si>
    <t>DDL-2026-009</t>
  </si>
  <si>
    <t>DESK_VERIFICATION</t>
  </si>
  <si>
    <t>DSK-2026-1009</t>
  </si>
  <si>
    <t>APP009</t>
  </si>
  <si>
    <t>INST009</t>
  </si>
  <si>
    <t>Regional Office initial proposal checklist verification and panel allocation</t>
  </si>
  <si>
    <t>REG_OFFICE_MANUAL_SEC2</t>
  </si>
  <si>
    <t>Illustrative rule; 1 day remaining for checklist signoff.</t>
  </si>
  <si>
    <t>DDL-2026-010</t>
  </si>
  <si>
    <t>UND-2026-008</t>
  </si>
  <si>
    <t>APP010</t>
  </si>
  <si>
    <t>INST010</t>
  </si>
  <si>
    <t>RO_ENDORSEMENT</t>
  </si>
  <si>
    <t>Regional Officer joint campus merger physical report endorsement</t>
  </si>
  <si>
    <t>ROLE_REGIONAL_OFFICER</t>
  </si>
  <si>
    <t>REG_OFFICE_MANUAL_SEC4</t>
  </si>
  <si>
    <t>Illustrative rule; 1 day remaining for physical endorsement.</t>
  </si>
  <si>
    <t>DDL-2026-011</t>
  </si>
  <si>
    <t>UND-2026-002</t>
  </si>
  <si>
    <t>APP011</t>
  </si>
  <si>
    <t>INST011</t>
  </si>
  <si>
    <t>TER_FEE_PAYMENT</t>
  </si>
  <si>
    <t>TER regulatory fee payment gateway transfer and challan reconciliation</t>
  </si>
  <si>
    <t>APH_2024_27_FEE_NORMS</t>
  </si>
  <si>
    <t>Illustrative rule; due today (0 days remaining); challan pending.</t>
  </si>
  <si>
    <t>DDL-2026-012</t>
  </si>
  <si>
    <t>UND-2026-001</t>
  </si>
  <si>
    <t>APP012</t>
  </si>
  <si>
    <t>INST012</t>
  </si>
  <si>
    <t>AFFIDAVIT_SUBMISSION</t>
  </si>
  <si>
    <t>Mandatory Trust affidavit on non-judicial stamp paper submission</t>
  </si>
  <si>
    <t>APH_2024_27_APPX_1</t>
  </si>
  <si>
    <t>Standard SLA window active; 29 days remaining.</t>
  </si>
  <si>
    <t>ODL Clearance Dispatch Due</t>
  </si>
  <si>
    <t>DDL-2026-013</t>
  </si>
  <si>
    <t>ODL demonstration verified. Transmit desk approval recommendation to EC queue today.</t>
  </si>
  <si>
    <t>UND-2026-009</t>
  </si>
  <si>
    <t>APP013</t>
  </si>
  <si>
    <t>INST013</t>
  </si>
  <si>
    <t>LOA_DISPATCH</t>
  </si>
  <si>
    <t>Corpus security deposit verification and Letter of Approval issuance</t>
  </si>
  <si>
    <t>APP1008-DDL008-DESK_DUE-20261025</t>
  </si>
  <si>
    <t>APH_2024_27_CH1_LOA</t>
  </si>
  <si>
    <t>Prototype alert for ODL desk review deadline.</t>
  </si>
  <si>
    <t>Completed on schedule; LOA successfully issued.</t>
  </si>
  <si>
    <t>NOTIF-2026-013</t>
  </si>
  <si>
    <t>DDL-2026-014</t>
  </si>
  <si>
    <t>INSPECTION_ORDER</t>
  </si>
  <si>
    <t>New Application Assigned to RO Queue</t>
  </si>
  <si>
    <t>INS-2026-1014</t>
  </si>
  <si>
    <t>Working professional B.Tech proposal submitted. Verify checklist documents within 3 days.</t>
  </si>
  <si>
    <t>APP014</t>
  </si>
  <si>
    <t>INST014</t>
  </si>
  <si>
    <t>UNAPPROVED_SUBLEASE</t>
  </si>
  <si>
    <t>Regulatory non-compliance order issued; unapproved land sublease rejected</t>
  </si>
  <si>
    <t>APP1009-DDL009-SUBMIT_RO-20261023</t>
  </si>
  <si>
    <t>CANCELLED</t>
  </si>
  <si>
    <t>Seeded queue assignment for Western Regional Office.</t>
  </si>
  <si>
    <t>AICTE_REG_2020_SEC14</t>
  </si>
  <si>
    <t>Cancelled upon application rejection; no further SLA.</t>
  </si>
  <si>
    <t>NOTIF-2026-014</t>
  </si>
  <si>
    <t>EVC Report Submitted for Regional Endorsement</t>
  </si>
  <si>
    <t>DDL-2026-015</t>
  </si>
  <si>
    <t>Heritage City College merger inspection submitted with score 88%. Endorsement due Oct 26.</t>
  </si>
  <si>
    <t>WITHDRAWAL_REQUEST</t>
  </si>
  <si>
    <t>WTH-2026-1015</t>
  </si>
  <si>
    <t>APP015</t>
  </si>
  <si>
    <t>INST015</t>
  </si>
  <si>
    <t>APP1010-DDL010-RO_ENDORSE-20261021</t>
  </si>
  <si>
    <t>VOLUNTARY_WITHDRAWAL</t>
  </si>
  <si>
    <t>Governing Board Trust resolution uploaded for voluntary withdrawal</t>
  </si>
  <si>
    <t>Seeded inspection handoff to Regional Officer.</t>
  </si>
  <si>
    <t>NOTIF-2026-015</t>
  </si>
  <si>
    <t>APH_2024_27_CH1_WTH</t>
  </si>
  <si>
    <t>Cancelled upon voluntary withdrawal resolution submission.</t>
  </si>
  <si>
    <t>Urgent: TER Fee Payment Due Within 24h</t>
  </si>
  <si>
    <t>TER payment window expires on Oct 25. Complete bank transfer to prevent application lapse.</t>
  </si>
  <si>
    <t>DDL-2026-016</t>
  </si>
  <si>
    <t>RESTRUCTURING_PLAN</t>
  </si>
  <si>
    <t>RST-2026-1016</t>
  </si>
  <si>
    <t>APP016</t>
  </si>
  <si>
    <t>APP1011-DDL011-TER_EXPIRING-20261024</t>
  </si>
  <si>
    <t>HIBERNATION_OVERHAUL</t>
  </si>
  <si>
    <t>One-year restructuring window for seismic laboratory overhaul</t>
  </si>
  <si>
    <t>Prototype escalation SMS before payment window lapse.</t>
  </si>
  <si>
    <t>NOTIF-2026-016</t>
  </si>
  <si>
    <t>APH_2024_27_CH9_HIB</t>
  </si>
  <si>
    <t>Illustrative rule; multi-month restructuring window active.</t>
  </si>
  <si>
    <t>Final Notice: TER Payment Window Closing Today</t>
  </si>
  <si>
    <t>Application will be unlocked to draft if NEFT transaction reference is not entered today.</t>
  </si>
  <si>
    <t>DDL-2026-017</t>
  </si>
  <si>
    <t>APP1011-DDL011-TER_FINAL-20261025</t>
  </si>
  <si>
    <t>EVC_INSPECTION</t>
  </si>
  <si>
    <t>EVC-2026-1017</t>
  </si>
  <si>
    <t>APP017</t>
  </si>
  <si>
    <t>Prototype critical banner alert on due date.</t>
  </si>
  <si>
    <t>EVC_SCHEDULING</t>
  </si>
  <si>
    <t>Allocation of 3-member expert visit committee panel slots</t>
  </si>
  <si>
    <t>NOTIF-2026-017</t>
  </si>
  <si>
    <t>Draft Application Initiated</t>
  </si>
  <si>
    <t>APH_2024_27_CH4_PANEL</t>
  </si>
  <si>
    <t>Draft created. Please complete mandatory trust affidavit, land, and faculty tabs within 30 days.</t>
  </si>
  <si>
    <t>Illustrative rule; 1 day remaining for panel allocation.</t>
  </si>
  <si>
    <t>DDL-2026-018</t>
  </si>
  <si>
    <t>APP1012-DDL012-DRAFT_OPEN-20261024</t>
  </si>
  <si>
    <t>MULTI_YEAR_EOA</t>
  </si>
  <si>
    <t>MYE-2026-1018</t>
  </si>
  <si>
    <t>APP018</t>
  </si>
  <si>
    <t>Seeded onboarding instructions for draft applicant.</t>
  </si>
  <si>
    <t>Multi-year accreditation extension dispatch through 2029</t>
  </si>
  <si>
    <t>NOTIF-2026-018</t>
  </si>
  <si>
    <t>Letter of Approval (LoA) Issued</t>
  </si>
  <si>
    <t>Formal approval granted for 60 B.Pharm seats for AY 2026-27. Certificate available for download.</t>
  </si>
  <si>
    <t>APH_2024_27_CH1_NBA</t>
  </si>
  <si>
    <t>Completed on schedule; multi-year dispatch issued.</t>
  </si>
  <si>
    <t>APP1013-DDL013-LOA_ORDER-20260930</t>
  </si>
  <si>
    <t>DDL-2026-019</t>
  </si>
  <si>
    <t>UND-2026-006</t>
  </si>
  <si>
    <t>Seeded final approval dispatch order.</t>
  </si>
  <si>
    <t>APP019</t>
  </si>
  <si>
    <t>Submit certified architect blueprint for commercial kitchen ventilation</t>
  </si>
  <si>
    <t>NOTIF-2026-019</t>
  </si>
  <si>
    <t>Application Rejection Order Published</t>
  </si>
  <si>
    <t>Council rejected intake increase due to unapproved institutional land sub-lease.</t>
  </si>
  <si>
    <t>ORDER_RECORDED</t>
  </si>
  <si>
    <t>APH_2024_27_CH2_ARCH</t>
  </si>
  <si>
    <t>Illustrative rule; 1 day remaining for architectural blueprint.</t>
  </si>
  <si>
    <t>APP1014-DDL014-REJECT_ORDER-20261005</t>
  </si>
  <si>
    <t>DDL-2026-020</t>
  </si>
  <si>
    <t>Seeded regulatory rejection notification.</t>
  </si>
  <si>
    <t>EVC-2026-1020</t>
  </si>
  <si>
    <t>NOTIF-2026-020</t>
  </si>
  <si>
    <t>APP020</t>
  </si>
  <si>
    <t>EVC_INSPECTION_WINDOW</t>
  </si>
  <si>
    <t>Physical inspection of MCA laboratory hardware setup within SLA</t>
  </si>
  <si>
    <t>Voluntary Withdrawal Recorded</t>
  </si>
  <si>
    <t>Sponsoring trust resolution for voluntary withdrawal confirmed. Application closed.</t>
  </si>
  <si>
    <t>ESCALATED</t>
  </si>
  <si>
    <t>APP1015-DDL015-WITHDRAW_ACK-20260928</t>
  </si>
  <si>
    <t>APH_2024_27_CH4_INSP</t>
  </si>
  <si>
    <t>Seeded voluntary withdrawal acknowledgment.</t>
  </si>
  <si>
    <t>Illustrative rule; window elapsed on 2026-10-24; alert escalated to RO.</t>
  </si>
  <si>
    <t>NOTIF-2026-021</t>
  </si>
  <si>
    <t>DDL-2026-021</t>
  </si>
  <si>
    <t>SCRUTINY_REVIEW</t>
  </si>
  <si>
    <t>Institution Status Set to Hibernated</t>
  </si>
  <si>
    <t>SCR-2026-1021</t>
  </si>
  <si>
    <t>APP021</t>
  </si>
  <si>
    <t>Satpura Institute placed in hibernation mode for AY 2026-27 for facility overhaul.</t>
  </si>
  <si>
    <t>WORK_PROF_VERIFICATION</t>
  </si>
  <si>
    <t>Scrutiny panel assessment of industry MoUs and flexible timing labs</t>
  </si>
  <si>
    <t>APP1016-DDL016-HIBERNATE-20260820</t>
  </si>
  <si>
    <t>Seeded institutional hibernation record.</t>
  </si>
  <si>
    <t>APH_2024_27_CH7_WORKPROF</t>
  </si>
  <si>
    <t>NOTIF-2026-022</t>
  </si>
  <si>
    <t>Illustrative rule; 2 days remaining for working professional review.</t>
  </si>
  <si>
    <t>EVC Committee Panel Slot Required</t>
  </si>
  <si>
    <t>Scrutiny cleared for Silicon Valley Institute AI &amp; Robotics. Assign 3-member inspection team.</t>
  </si>
  <si>
    <t>DDL-2026-022</t>
  </si>
  <si>
    <t>DESK_SCRUTINY</t>
  </si>
  <si>
    <t>DSK-2026-1022</t>
  </si>
  <si>
    <t>APP022</t>
  </si>
  <si>
    <t>APP1017-DDL017-EVC_SLOT-20261023</t>
  </si>
  <si>
    <t>DESK_SCRUTINY_ASSIGN</t>
  </si>
  <si>
    <t>Regional office allocation of scrutiny panel for routine EoA submission</t>
  </si>
  <si>
    <t>Seeded panel allocation workflow alert.</t>
  </si>
  <si>
    <t>REG_OFFICE_MANUAL_SEC1</t>
  </si>
  <si>
    <t>DDL-2026-023</t>
  </si>
  <si>
    <t>EVC-2026-1023</t>
  </si>
  <si>
    <t>APP023</t>
  </si>
  <si>
    <t>EVC_REPORT_TRANSMISSION</t>
  </si>
  <si>
    <t>Transmission of change-of-site inspection findings to Council</t>
  </si>
  <si>
    <t>OVERDUE</t>
  </si>
  <si>
    <t>NOTIF-2026-023</t>
  </si>
  <si>
    <t>APH_2024_27_CH4_TRANS</t>
  </si>
  <si>
    <t>Illustrative rule; SLA elapsed by 2 days; alert notice dispatched.</t>
  </si>
  <si>
    <t>Revision Required: Kitchen Ventilation Certificate</t>
  </si>
  <si>
    <t>Initial upload rejected: chartered architect stamp missing. Upload revised drawing by Oct 26.</t>
  </si>
  <si>
    <t>DDL-2026-024</t>
  </si>
  <si>
    <t>APP1019-DDL019-DEF_STAMP-20261024</t>
  </si>
  <si>
    <t>UND-2026-003</t>
  </si>
  <si>
    <t>APP024</t>
  </si>
  <si>
    <t>Prototype deficiency notification on rejected document.</t>
  </si>
  <si>
    <t>DEFICIENCY_SLA_ELAPSED</t>
  </si>
  <si>
    <t>NOTIF-2026-024</t>
  </si>
  <si>
    <t>ODL security compliance window elapsed; automated escalation to SAC hearing</t>
  </si>
  <si>
    <t>Alert: 24 Hours Left for Deficiency Upload</t>
  </si>
  <si>
    <t>Ensure stamped mechanical ventilation certificate is uploaded on AICTE portal before Oct 26.</t>
  </si>
  <si>
    <t>APP1019-DDL019-WARN_SMS-20261025</t>
  </si>
  <si>
    <t>Prototype critical countdown SMS.</t>
  </si>
  <si>
    <t>NOTIF-2026-025</t>
  </si>
  <si>
    <t>Non-Blocking Escalation: EVC SLA Approaching Limit</t>
  </si>
  <si>
    <t>APH_2024_27_CH6_SAC</t>
  </si>
  <si>
    <t>EVC inspection window reaches 14th day. Alert sent to RO to ensure inspection report submission.</t>
  </si>
  <si>
    <t>ESCALATION_TRIGGERED</t>
  </si>
  <si>
    <t>Illustrative rule; elapsed SLA escalated to SAC docket for hearing.</t>
  </si>
  <si>
    <t>APP1020-DDL020-EVC_ESCALATE-20261025</t>
  </si>
  <si>
    <t>Prototype non-blocking escalation alert sent to RO.</t>
  </si>
  <si>
    <t>NOTIF-2026-026</t>
  </si>
  <si>
    <t>Scrutiny Panel Allocation Due Today</t>
  </si>
  <si>
    <t>Routine EoA submission for Thar Institute requires scrutiny member assignment today.</t>
  </si>
  <si>
    <t>APP1022-DDL022-RO_ASSIGN-20261025</t>
  </si>
  <si>
    <t>Prototype daily due-queue notification.</t>
  </si>
  <si>
    <t>NOTIF-2026-027</t>
  </si>
  <si>
    <t>Overdue Alert: Change of Site EVC Report</t>
  </si>
  <si>
    <t>5-day SLA elapsed for transmitting Eastern Frontier Polytechnic site change inspection findings.</t>
  </si>
  <si>
    <t>SLA_ELAPSED</t>
  </si>
  <si>
    <t>APP1023-DDL023-OVERDUE_WARN-20261025</t>
  </si>
  <si>
    <t>Prototype overdue SLA alert; escalation tier 2 logged.</t>
  </si>
  <si>
    <t>NOTIF-2026-028</t>
  </si>
  <si>
    <t>Non-Blocking Escalation: Automated Referral to SAC</t>
  </si>
  <si>
    <t>Vindhya School of Management ODL compliance window elapsed. Automated case referral to SAC.</t>
  </si>
  <si>
    <t>APP1024-DDL024-SAC_ESCALATE-20261024</t>
  </si>
  <si>
    <t>Prototype automated SAC referral docket alert.</t>
  </si>
  <si>
    <t>NOTIF-2026-029</t>
  </si>
  <si>
    <t>Urgent: Appellate Hearing Notice for Proctoring Compliance</t>
  </si>
  <si>
    <t>Hearing confirmed before SAC bench regarding remote proctoring cybersecurity standards.</t>
  </si>
  <si>
    <t>APP1024-DDL024-SAC_HEAR_NOTIF-20261025</t>
  </si>
  <si>
    <t>Prototype appellate summons to institution administrator.</t>
  </si>
  <si>
    <t>NOTIF-2026-030</t>
  </si>
  <si>
    <t>Industry MoU Scrutiny Assigned</t>
  </si>
  <si>
    <t>Working professional curriculum and industry MoU verification docket uploaded for scrutiny review.</t>
  </si>
  <si>
    <t>APP1021-DDL021-WORK_MOU-20261017</t>
  </si>
  <si>
    <t>Prototype event; review assigned to scrutiny expert.</t>
  </si>
  <si>
    <t>Audit_ID</t>
  </si>
  <si>
    <t>Validation_Category</t>
  </si>
  <si>
    <t>Validation_Check_Rule</t>
  </si>
  <si>
    <t>Target_Scope</t>
  </si>
  <si>
    <t>Formula_Audit_Logic</t>
  </si>
  <si>
    <t>Anomaly_Count</t>
  </si>
  <si>
    <t>Audit_Status</t>
  </si>
  <si>
    <t>AUD-001</t>
  </si>
  <si>
    <t>RELATIONAL_INTEGRITY</t>
  </si>
  <si>
    <t>Notifications to Deadlines Foreign Key Integrity</t>
  </si>
  <si>
    <t>Notifications!B2:B31 -&gt; Deadlines!A2:A25</t>
  </si>
  <si>
    <t>Check for notification deadline_id not present in Deadlines</t>
  </si>
  <si>
    <t>AUD-002</t>
  </si>
  <si>
    <t>DEDUPLICATION</t>
  </si>
  <si>
    <t>Notification Deduplication Key Uniqueness</t>
  </si>
  <si>
    <t>Notifications!L2:L31</t>
  </si>
  <si>
    <t>Count occurrences of duplicate idempotency keys</t>
  </si>
  <si>
    <t>AUD-003</t>
  </si>
  <si>
    <t>PRIMARY_KEY</t>
  </si>
  <si>
    <t>Deadline Primary Key Uniqueness</t>
  </si>
  <si>
    <t>Deadlines!A2:A25</t>
  </si>
  <si>
    <t>Ensure all deadline_id records are strictly unique</t>
  </si>
  <si>
    <t>AUD-004</t>
  </si>
  <si>
    <t>STATE_CONSISTENCY</t>
  </si>
  <si>
    <t>Terminal State Date Consistency</t>
  </si>
  <si>
    <t>Deadlines!J2:J25 &amp; Deadlines!L2:L25</t>
  </si>
  <si>
    <t>Flag COMPLETED/CANCELLED records missing completion date</t>
  </si>
  <si>
    <t>AUD-005</t>
  </si>
  <si>
    <t>Active State Date Nullity Conformance</t>
  </si>
  <si>
    <t>Flag active records (UPCOMING, DUE, OVERDUE, ESCALATED) having completion date</t>
  </si>
  <si>
    <t>AUD-006</t>
  </si>
  <si>
    <t>TEMPORAL_INTEGRITY</t>
  </si>
  <si>
    <t>Overdue vs Baseline Date Verification</t>
  </si>
  <si>
    <t>Deadlines!I2:I25 &amp; Deadlines!J2:J25</t>
  </si>
  <si>
    <t>Flag records marked OVERDUE whose due date is on or after 2026-10-25</t>
  </si>
  <si>
    <t>AUD-007</t>
  </si>
  <si>
    <t>Upcoming vs Baseline Date Verification</t>
  </si>
  <si>
    <t>Flag records marked UPCOMING whose due date is in the past (&lt;2026-10-25)</t>
  </si>
  <si>
    <t>AUD-008</t>
  </si>
  <si>
    <t>AUDIT_TRAIL</t>
  </si>
  <si>
    <t>Notification Read State Timestamp Conformance</t>
  </si>
  <si>
    <t>Notifications!I2:I31 &amp; Notifications!J2:J31</t>
  </si>
  <si>
    <t>Flag records marked READ missing read_timestamp</t>
  </si>
  <si>
    <t>AUD-009</t>
  </si>
  <si>
    <t>Notification Unread State Timestamp Conformance</t>
  </si>
  <si>
    <t>Flag records marked UNREAD containing read_timestamp</t>
  </si>
  <si>
    <t>AUD-010</t>
  </si>
  <si>
    <t>Notifications Application ID Cross-Match</t>
  </si>
  <si>
    <t>Notifications!C2:C31 -&gt; Deadlines!D2:D25</t>
  </si>
  <si>
    <t>Ensure every notification application_id exists in Deadlines</t>
  </si>
  <si>
    <t>Validation Executive Metric</t>
  </si>
  <si>
    <t>Metric Value</t>
  </si>
  <si>
    <t>Status / Target</t>
  </si>
  <si>
    <t>Compliance Scope</t>
  </si>
  <si>
    <t>Total Audits Executed</t>
  </si>
  <si>
    <t>100% of planned relational and state integrity suite evaluated</t>
  </si>
  <si>
    <t>Total Relational Anomalies</t>
  </si>
  <si>
    <t>Dataset exhibits 0 broken foreign keys or duplicate keys</t>
  </si>
  <si>
    <t>Total Deadlines Evaluated</t>
  </si>
  <si>
    <t>24 Records</t>
  </si>
  <si>
    <t>Full lifecycle states represented across reference date 2026-10-25</t>
  </si>
  <si>
    <t>Total Notifications Dispatched</t>
  </si>
  <si>
    <t>30 Records</t>
  </si>
  <si>
    <t>All delivery channels and roles represented with seeded &amp; prototype events</t>
  </si>
  <si>
    <t>Overall Integrity Compliance Rate</t>
  </si>
  <si>
    <t>100.0% Target</t>
  </si>
  <si>
    <t>Certified robust for prototype simulation</t>
  </si>
  <si>
    <t>Fixed Reference Baseline Date</t>
  </si>
  <si>
    <t>IST (UTC+05:30)</t>
  </si>
  <si>
    <t>Temporal benchmark frozen across all evaluations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</si>
</sst>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0.0%"/>
  </numFmts>
  <fonts count="6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theme="1"/>
      <name val="Roboto"/>
    </font>
    <font>
      <b/>
      <sz val="10.0"/>
      <color theme="1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  <fill>
      <patternFill patternType="solid">
        <fgColor rgb="FFF6F8FC"/>
        <bgColor rgb="FFF6F8F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3" fontId="1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2" numFmtId="3" xfId="0" applyAlignment="1" applyFill="1" applyFont="1" applyNumberFormat="1">
      <alignment horizontal="right" readingOrder="0"/>
    </xf>
    <xf borderId="0" fillId="5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left" readingOrder="0"/>
    </xf>
    <xf borderId="0" fillId="5" fontId="2" numFmtId="0" xfId="0" applyAlignment="1" applyFill="1" applyFont="1">
      <alignment horizontal="center" readingOrder="0"/>
    </xf>
    <xf borderId="0" fillId="4" fontId="2" numFmtId="164" xfId="0" applyAlignment="1" applyFill="1" applyFont="1" applyNumberFormat="1">
      <alignment horizontal="center" readingOrder="0"/>
    </xf>
    <xf borderId="0" fillId="5" fontId="2" numFmtId="0" xfId="0" applyAlignment="1" applyFill="1" applyFont="1">
      <alignment readingOrder="0"/>
    </xf>
    <xf borderId="0" fillId="5" fontId="3" numFmtId="0" xfId="0" applyAlignment="1" applyFill="1" applyFont="1">
      <alignment horizontal="left" readingOrder="0"/>
    </xf>
    <xf borderId="0" fillId="4" fontId="2" numFmtId="165" xfId="0" applyAlignment="1" applyFill="1" applyFont="1" applyNumberFormat="1">
      <alignment horizontal="center" readingOrder="0"/>
    </xf>
    <xf borderId="0" fillId="4" fontId="2" numFmtId="3" xfId="0" applyAlignment="1" applyFill="1" applyFont="1" applyNumberFormat="1">
      <alignment horizontal="center" readingOrder="0"/>
    </xf>
    <xf borderId="0" fillId="4" fontId="3" numFmtId="165" xfId="0" applyAlignment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5" fontId="2" numFmtId="3" xfId="0" applyAlignment="1" applyFill="1" applyFont="1" applyNumberFormat="1">
      <alignment horizontal="right" readingOrder="0"/>
    </xf>
    <xf borderId="0" fillId="5" fontId="2" numFmtId="165" xfId="0" applyAlignment="1" applyFill="1" applyFont="1" applyNumberFormat="1">
      <alignment horizontal="center" readingOrder="0"/>
    </xf>
    <xf borderId="0" fillId="5" fontId="2" numFmtId="164" xfId="0" applyAlignment="1" applyFill="1" applyFont="1" applyNumberFormat="1">
      <alignment horizontal="center" readingOrder="0"/>
    </xf>
    <xf borderId="0" fillId="5" fontId="2" numFmtId="3" xfId="0" applyAlignment="1" applyFill="1" applyFont="1" applyNumberFormat="1">
      <alignment horizontal="center" readingOrder="0"/>
    </xf>
    <xf borderId="0" fillId="5" fontId="3" numFmtId="165" xfId="0" applyAlignment="1" applyFill="1" applyFont="1" applyNumberFormat="1">
      <alignment horizontal="center" readingOrder="0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2" fontId="1" numFmtId="0" xfId="0" applyAlignment="1" applyFill="1" applyFont="1">
      <alignment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3" xfId="0" applyFont="1" applyNumberFormat="1"/>
    <xf borderId="0" fillId="0" fontId="5" numFmtId="166" xfId="0" applyAlignment="1" applyFont="1" applyNumberFormat="1">
      <alignment horizontal="right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C"/>
          <bgColor rgb="FFF6F8FC"/>
        </patternFill>
      </fill>
      <border/>
    </dxf>
    <dxf>
      <font>
        <b/>
        <color rgb="FF6E3800"/>
      </font>
      <fill>
        <patternFill patternType="solid">
          <fgColor rgb="FFFFEBD2"/>
          <bgColor rgb="FFFFEBD2"/>
        </patternFill>
      </fill>
      <border/>
    </dxf>
    <dxf>
      <font>
        <color rgb="FF184D33"/>
      </font>
      <fill>
        <patternFill patternType="solid">
          <fgColor rgb="FFE7F5EC"/>
          <bgColor rgb="FFE7F5EC"/>
        </patternFill>
      </fill>
      <border/>
    </dxf>
    <dxf>
      <font>
        <b/>
        <color rgb="FF920009"/>
      </font>
      <fill>
        <patternFill patternType="solid">
          <fgColor rgb="FFFFDAD5"/>
          <bgColor rgb="FFFFDAD5"/>
        </patternFill>
      </fill>
      <border/>
    </dxf>
    <dxf>
      <font>
        <b/>
        <color rgb="FF793900"/>
      </font>
      <fill>
        <patternFill patternType="solid">
          <fgColor rgb="FFFFEBD2"/>
          <bgColor rgb="FFFFEBD2"/>
        </patternFill>
      </fill>
      <border/>
    </dxf>
    <dxf>
      <font>
        <b/>
        <color rgb="FF7A2A00"/>
      </font>
      <fill>
        <patternFill patternType="solid">
          <fgColor rgb="FFFFDBD1"/>
          <bgColor rgb="FFFFDBD1"/>
        </patternFill>
      </fill>
      <border/>
    </dxf>
    <dxf>
      <font>
        <b/>
        <color rgb="FF625700"/>
      </font>
      <fill>
        <patternFill patternType="solid">
          <fgColor rgb="FFFDF3BA"/>
          <bgColor rgb="FFFDF3BA"/>
        </patternFill>
      </fill>
      <border/>
    </dxf>
    <dxf>
      <font>
        <b/>
        <color rgb="FF00315B"/>
      </font>
      <fill>
        <patternFill patternType="solid">
          <fgColor rgb="FFD7E1FF"/>
          <bgColor rgb="FFD7E1FF"/>
        </patternFill>
      </fill>
      <border/>
    </dxf>
    <dxf>
      <font>
        <b/>
        <color rgb="FF005234"/>
      </font>
      <fill>
        <patternFill patternType="solid">
          <fgColor rgb="FFC7EDD9"/>
          <bgColor rgb="FFC7EDD9"/>
        </patternFill>
      </fill>
      <border/>
    </dxf>
    <dxf>
      <font>
        <b/>
        <color rgb="FF45464F"/>
      </font>
      <fill>
        <patternFill patternType="solid">
          <fgColor rgb="FFE1E1E6"/>
          <bgColor rgb="FFE1E1E6"/>
        </patternFill>
      </fill>
      <border/>
    </dxf>
  </dxfs>
  <tableStyles count="1">
    <tableStyle count="3" pivot="0" name="Validation_Re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_1" name="Table_1" id="1">
  <tableColumns count="7">
    <tableColumn name="Audit_ID" id="1"/>
    <tableColumn name="Validation_Category" id="2"/>
    <tableColumn name="Validation_Check_Rule" id="3"/>
    <tableColumn name="Target_Scope" id="4"/>
    <tableColumn name="Formula_Audit_Logic" id="5"/>
    <tableColumn name="Anomaly_Count" id="6"/>
    <tableColumn name="Audit_Status" id="7"/>
  </tableColumns>
  <tableStyleInfo name="Validation_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9.0"/>
    <col customWidth="1" min="3" max="3" width="12.75"/>
    <col customWidth="1" min="4" max="4" width="14.13"/>
    <col customWidth="1" min="5" max="5" width="13.38"/>
    <col customWidth="1" min="6" max="6" width="23.0"/>
    <col customWidth="1" min="7" max="7" width="58.5"/>
    <col customWidth="1" min="8" max="8" width="23.88"/>
    <col customWidth="1" min="9" max="9" width="10.5"/>
    <col customWidth="1" min="10" max="10" width="11.63"/>
    <col customWidth="1" min="11" max="11" width="16.75"/>
    <col customWidth="1" min="12" max="12" width="23.0"/>
    <col customWidth="1" min="13" max="13" width="20.5"/>
    <col customWidth="1" min="14" max="14" width="24.38"/>
    <col customWidth="1" min="15" max="15" width="12.25"/>
    <col customWidth="1" min="16" max="16" width="50.88"/>
    <col customWidth="1" min="17" max="17" width="12.38"/>
    <col customWidth="1" min="18" max="18" width="12.63"/>
  </cols>
  <sheetData>
    <row r="1" ht="24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14</v>
      </c>
      <c r="K1" s="1" t="s">
        <v>17</v>
      </c>
      <c r="L1" s="1" t="s">
        <v>20</v>
      </c>
      <c r="M1" s="1" t="s">
        <v>23</v>
      </c>
      <c r="N1" s="1" t="s">
        <v>24</v>
      </c>
      <c r="O1" s="1" t="s">
        <v>27</v>
      </c>
      <c r="P1" s="1" t="s">
        <v>28</v>
      </c>
      <c r="Q1" s="3"/>
      <c r="R1" s="3"/>
      <c r="S1" s="2"/>
      <c r="T1" s="2"/>
      <c r="U1" s="2"/>
      <c r="V1" s="2"/>
      <c r="W1" s="2"/>
      <c r="X1" s="2"/>
      <c r="Y1" s="2"/>
      <c r="Z1" s="2"/>
    </row>
    <row r="2">
      <c r="A2" s="5" t="s">
        <v>37</v>
      </c>
      <c r="B2" s="5" t="s">
        <v>40</v>
      </c>
      <c r="C2" s="5" t="s">
        <v>41</v>
      </c>
      <c r="D2" s="5" t="s">
        <v>43</v>
      </c>
      <c r="E2" s="5" t="s">
        <v>46</v>
      </c>
      <c r="F2" s="5" t="s">
        <v>47</v>
      </c>
      <c r="G2" s="6" t="s">
        <v>48</v>
      </c>
      <c r="H2" s="7" t="s">
        <v>50</v>
      </c>
      <c r="I2" s="11">
        <v>46324.0</v>
      </c>
      <c r="J2" s="15" t="s">
        <v>74</v>
      </c>
      <c r="K2" s="16">
        <v>46320.416666666664</v>
      </c>
      <c r="L2" s="11"/>
      <c r="M2" s="5" t="s">
        <v>83</v>
      </c>
      <c r="N2" s="5" t="s">
        <v>84</v>
      </c>
      <c r="O2" s="5" t="b">
        <v>1</v>
      </c>
      <c r="P2" s="5" t="s">
        <v>88</v>
      </c>
      <c r="Q2" s="17"/>
      <c r="R2" s="18"/>
      <c r="S2" s="2"/>
      <c r="T2" s="2"/>
      <c r="U2" s="2"/>
      <c r="V2" s="2"/>
      <c r="W2" s="2"/>
      <c r="X2" s="2"/>
      <c r="Y2" s="2"/>
      <c r="Z2" s="2"/>
    </row>
    <row r="3">
      <c r="A3" s="12" t="s">
        <v>98</v>
      </c>
      <c r="B3" s="12" t="s">
        <v>40</v>
      </c>
      <c r="C3" s="12" t="s">
        <v>99</v>
      </c>
      <c r="D3" s="12" t="s">
        <v>101</v>
      </c>
      <c r="E3" s="12" t="s">
        <v>103</v>
      </c>
      <c r="F3" s="12" t="s">
        <v>106</v>
      </c>
      <c r="G3" s="10" t="s">
        <v>108</v>
      </c>
      <c r="H3" s="19" t="s">
        <v>110</v>
      </c>
      <c r="I3" s="21">
        <v>46323.0</v>
      </c>
      <c r="J3" s="22" t="s">
        <v>74</v>
      </c>
      <c r="K3" s="23">
        <v>46320.416666666664</v>
      </c>
      <c r="L3" s="21"/>
      <c r="M3" s="12" t="s">
        <v>83</v>
      </c>
      <c r="N3" s="12" t="s">
        <v>125</v>
      </c>
      <c r="O3" s="12" t="b">
        <v>1</v>
      </c>
      <c r="P3" s="12" t="s">
        <v>128</v>
      </c>
      <c r="Q3" s="17"/>
      <c r="R3" s="18"/>
      <c r="S3" s="2"/>
      <c r="T3" s="2"/>
      <c r="U3" s="2"/>
      <c r="V3" s="2"/>
      <c r="W3" s="2"/>
      <c r="X3" s="2"/>
      <c r="Y3" s="2"/>
      <c r="Z3" s="2"/>
    </row>
    <row r="4">
      <c r="A4" s="5" t="s">
        <v>134</v>
      </c>
      <c r="B4" s="5" t="s">
        <v>136</v>
      </c>
      <c r="C4" s="5" t="s">
        <v>138</v>
      </c>
      <c r="D4" s="5" t="s">
        <v>140</v>
      </c>
      <c r="E4" s="5" t="s">
        <v>142</v>
      </c>
      <c r="F4" s="5" t="s">
        <v>144</v>
      </c>
      <c r="G4" s="6" t="s">
        <v>146</v>
      </c>
      <c r="H4" s="7" t="s">
        <v>148</v>
      </c>
      <c r="I4" s="11">
        <v>46296.0</v>
      </c>
      <c r="J4" s="15" t="s">
        <v>152</v>
      </c>
      <c r="K4" s="16">
        <v>46320.416666666664</v>
      </c>
      <c r="L4" s="11">
        <v>46296.0</v>
      </c>
      <c r="M4" s="5" t="s">
        <v>157</v>
      </c>
      <c r="N4" s="5" t="s">
        <v>158</v>
      </c>
      <c r="O4" s="5" t="b">
        <v>0</v>
      </c>
      <c r="P4" s="5" t="s">
        <v>203</v>
      </c>
      <c r="Q4" s="17"/>
      <c r="R4" s="18"/>
      <c r="S4" s="2"/>
      <c r="T4" s="2"/>
      <c r="U4" s="2"/>
      <c r="V4" s="2"/>
      <c r="W4" s="2"/>
      <c r="X4" s="2"/>
      <c r="Y4" s="2"/>
      <c r="Z4" s="2"/>
    </row>
    <row r="5">
      <c r="A5" s="12" t="s">
        <v>191</v>
      </c>
      <c r="B5" s="12" t="s">
        <v>40</v>
      </c>
      <c r="C5" s="12" t="s">
        <v>209</v>
      </c>
      <c r="D5" s="12" t="s">
        <v>210</v>
      </c>
      <c r="E5" s="12" t="s">
        <v>211</v>
      </c>
      <c r="F5" s="12" t="s">
        <v>214</v>
      </c>
      <c r="G5" s="10" t="s">
        <v>217</v>
      </c>
      <c r="H5" s="19" t="s">
        <v>219</v>
      </c>
      <c r="I5" s="21">
        <v>46320.0</v>
      </c>
      <c r="J5" s="22" t="s">
        <v>221</v>
      </c>
      <c r="K5" s="23">
        <v>46320.416666666664</v>
      </c>
      <c r="L5" s="21"/>
      <c r="M5" s="12" t="s">
        <v>83</v>
      </c>
      <c r="N5" s="12" t="s">
        <v>226</v>
      </c>
      <c r="O5" s="12" t="b">
        <v>1</v>
      </c>
      <c r="P5" s="12" t="s">
        <v>228</v>
      </c>
      <c r="Q5" s="17"/>
      <c r="R5" s="18"/>
      <c r="S5" s="2"/>
      <c r="T5" s="2"/>
      <c r="U5" s="2"/>
      <c r="V5" s="2"/>
      <c r="W5" s="2"/>
      <c r="X5" s="2"/>
      <c r="Y5" s="2"/>
      <c r="Z5" s="2"/>
    </row>
    <row r="6">
      <c r="A6" s="5" t="s">
        <v>233</v>
      </c>
      <c r="B6" s="5" t="s">
        <v>234</v>
      </c>
      <c r="C6" s="5" t="s">
        <v>235</v>
      </c>
      <c r="D6" s="5" t="s">
        <v>236</v>
      </c>
      <c r="E6" s="5" t="s">
        <v>237</v>
      </c>
      <c r="F6" s="5" t="s">
        <v>238</v>
      </c>
      <c r="G6" s="6" t="s">
        <v>241</v>
      </c>
      <c r="H6" s="7" t="s">
        <v>148</v>
      </c>
      <c r="I6" s="11">
        <v>46322.0</v>
      </c>
      <c r="J6" s="15" t="s">
        <v>74</v>
      </c>
      <c r="K6" s="16">
        <v>46320.416666666664</v>
      </c>
      <c r="L6" s="11"/>
      <c r="M6" s="5" t="s">
        <v>157</v>
      </c>
      <c r="N6" s="5" t="s">
        <v>248</v>
      </c>
      <c r="O6" s="5" t="b">
        <v>1</v>
      </c>
      <c r="P6" s="5" t="s">
        <v>252</v>
      </c>
      <c r="Q6" s="17"/>
      <c r="R6" s="18"/>
      <c r="S6" s="2"/>
      <c r="T6" s="2"/>
      <c r="U6" s="2"/>
      <c r="V6" s="2"/>
      <c r="W6" s="2"/>
      <c r="X6" s="2"/>
      <c r="Y6" s="2"/>
      <c r="Z6" s="2"/>
    </row>
    <row r="7">
      <c r="A7" s="12" t="s">
        <v>257</v>
      </c>
      <c r="B7" s="12" t="s">
        <v>299</v>
      </c>
      <c r="C7" s="12" t="s">
        <v>300</v>
      </c>
      <c r="D7" s="12" t="s">
        <v>294</v>
      </c>
      <c r="E7" s="12" t="s">
        <v>303</v>
      </c>
      <c r="F7" s="12" t="s">
        <v>305</v>
      </c>
      <c r="G7" s="10" t="s">
        <v>306</v>
      </c>
      <c r="H7" s="19" t="s">
        <v>307</v>
      </c>
      <c r="I7" s="21">
        <v>46321.0</v>
      </c>
      <c r="J7" s="22" t="s">
        <v>221</v>
      </c>
      <c r="K7" s="23">
        <v>46320.416666666664</v>
      </c>
      <c r="L7" s="21"/>
      <c r="M7" s="12" t="s">
        <v>160</v>
      </c>
      <c r="N7" s="12" t="s">
        <v>313</v>
      </c>
      <c r="O7" s="12" t="b">
        <v>1</v>
      </c>
      <c r="P7" s="12" t="s">
        <v>365</v>
      </c>
      <c r="Q7" s="17"/>
      <c r="R7" s="18"/>
      <c r="S7" s="2"/>
      <c r="T7" s="2"/>
      <c r="U7" s="2"/>
      <c r="V7" s="2"/>
      <c r="W7" s="2"/>
      <c r="X7" s="2"/>
      <c r="Y7" s="2"/>
      <c r="Z7" s="2"/>
    </row>
    <row r="8">
      <c r="A8" s="5" t="s">
        <v>326</v>
      </c>
      <c r="B8" s="5" t="s">
        <v>368</v>
      </c>
      <c r="C8" s="5" t="s">
        <v>370</v>
      </c>
      <c r="D8" s="5" t="s">
        <v>327</v>
      </c>
      <c r="E8" s="5" t="s">
        <v>371</v>
      </c>
      <c r="F8" s="5" t="s">
        <v>238</v>
      </c>
      <c r="G8" s="6" t="s">
        <v>372</v>
      </c>
      <c r="H8" s="7" t="s">
        <v>148</v>
      </c>
      <c r="I8" s="11">
        <v>46321.0</v>
      </c>
      <c r="J8" s="15" t="s">
        <v>221</v>
      </c>
      <c r="K8" s="16">
        <v>46320.416666666664</v>
      </c>
      <c r="L8" s="11"/>
      <c r="M8" s="5" t="s">
        <v>83</v>
      </c>
      <c r="N8" s="5" t="s">
        <v>373</v>
      </c>
      <c r="O8" s="5" t="b">
        <v>1</v>
      </c>
      <c r="P8" s="5" t="s">
        <v>374</v>
      </c>
      <c r="Q8" s="17"/>
      <c r="R8" s="18"/>
      <c r="S8" s="2"/>
      <c r="T8" s="2"/>
      <c r="U8" s="2"/>
      <c r="V8" s="2"/>
      <c r="W8" s="2"/>
      <c r="X8" s="2"/>
      <c r="Y8" s="2"/>
      <c r="Z8" s="2"/>
    </row>
    <row r="9">
      <c r="A9" s="12" t="s">
        <v>339</v>
      </c>
      <c r="B9" s="12" t="s">
        <v>40</v>
      </c>
      <c r="C9" s="12" t="s">
        <v>375</v>
      </c>
      <c r="D9" s="12" t="s">
        <v>340</v>
      </c>
      <c r="E9" s="12" t="s">
        <v>376</v>
      </c>
      <c r="F9" s="12" t="s">
        <v>377</v>
      </c>
      <c r="G9" s="10" t="s">
        <v>378</v>
      </c>
      <c r="H9" s="19" t="s">
        <v>341</v>
      </c>
      <c r="I9" s="21">
        <v>46320.0</v>
      </c>
      <c r="J9" s="22" t="s">
        <v>152</v>
      </c>
      <c r="K9" s="23">
        <v>46320.416666666664</v>
      </c>
      <c r="L9" s="21">
        <v>46320.0</v>
      </c>
      <c r="M9" s="12" t="s">
        <v>157</v>
      </c>
      <c r="N9" s="12" t="s">
        <v>379</v>
      </c>
      <c r="O9" s="12" t="b">
        <v>0</v>
      </c>
      <c r="P9" s="12" t="s">
        <v>380</v>
      </c>
      <c r="Q9" s="17"/>
      <c r="R9" s="18"/>
      <c r="S9" s="2"/>
      <c r="T9" s="2"/>
      <c r="U9" s="2"/>
      <c r="V9" s="2"/>
      <c r="W9" s="2"/>
      <c r="X9" s="2"/>
      <c r="Y9" s="2"/>
      <c r="Z9" s="2"/>
    </row>
    <row r="10">
      <c r="A10" s="5" t="s">
        <v>381</v>
      </c>
      <c r="B10" s="5" t="s">
        <v>382</v>
      </c>
      <c r="C10" s="5" t="s">
        <v>383</v>
      </c>
      <c r="D10" s="5" t="s">
        <v>384</v>
      </c>
      <c r="E10" s="5" t="s">
        <v>385</v>
      </c>
      <c r="F10" s="5" t="s">
        <v>382</v>
      </c>
      <c r="G10" s="6" t="s">
        <v>386</v>
      </c>
      <c r="H10" s="7" t="s">
        <v>270</v>
      </c>
      <c r="I10" s="11">
        <v>46321.0</v>
      </c>
      <c r="J10" s="15" t="s">
        <v>221</v>
      </c>
      <c r="K10" s="16">
        <v>46320.416666666664</v>
      </c>
      <c r="L10" s="11"/>
      <c r="M10" s="5" t="s">
        <v>83</v>
      </c>
      <c r="N10" s="5" t="s">
        <v>387</v>
      </c>
      <c r="O10" s="5" t="b">
        <v>1</v>
      </c>
      <c r="P10" s="5" t="s">
        <v>388</v>
      </c>
      <c r="Q10" s="17"/>
      <c r="R10" s="18"/>
      <c r="S10" s="2"/>
      <c r="T10" s="2"/>
      <c r="U10" s="2"/>
      <c r="V10" s="2"/>
      <c r="W10" s="2"/>
      <c r="X10" s="2"/>
      <c r="Y10" s="2"/>
      <c r="Z10" s="2"/>
    </row>
    <row r="11">
      <c r="A11" s="12" t="s">
        <v>389</v>
      </c>
      <c r="B11" s="12" t="s">
        <v>40</v>
      </c>
      <c r="C11" s="12" t="s">
        <v>390</v>
      </c>
      <c r="D11" s="12" t="s">
        <v>391</v>
      </c>
      <c r="E11" s="12" t="s">
        <v>392</v>
      </c>
      <c r="F11" s="12" t="s">
        <v>393</v>
      </c>
      <c r="G11" s="10" t="s">
        <v>394</v>
      </c>
      <c r="H11" s="19" t="s">
        <v>395</v>
      </c>
      <c r="I11" s="21">
        <v>46321.0</v>
      </c>
      <c r="J11" s="22" t="s">
        <v>221</v>
      </c>
      <c r="K11" s="23">
        <v>46320.416666666664</v>
      </c>
      <c r="L11" s="21"/>
      <c r="M11" s="12" t="s">
        <v>83</v>
      </c>
      <c r="N11" s="12" t="s">
        <v>396</v>
      </c>
      <c r="O11" s="12" t="b">
        <v>1</v>
      </c>
      <c r="P11" s="12" t="s">
        <v>397</v>
      </c>
      <c r="Q11" s="17"/>
      <c r="R11" s="18"/>
      <c r="S11" s="2"/>
      <c r="T11" s="2"/>
      <c r="U11" s="2"/>
      <c r="V11" s="2"/>
      <c r="W11" s="2"/>
      <c r="X11" s="2"/>
      <c r="Y11" s="2"/>
      <c r="Z11" s="2"/>
    </row>
    <row r="12">
      <c r="A12" s="5" t="s">
        <v>398</v>
      </c>
      <c r="B12" s="5" t="s">
        <v>40</v>
      </c>
      <c r="C12" s="5" t="s">
        <v>399</v>
      </c>
      <c r="D12" s="5" t="s">
        <v>400</v>
      </c>
      <c r="E12" s="5" t="s">
        <v>401</v>
      </c>
      <c r="F12" s="5" t="s">
        <v>402</v>
      </c>
      <c r="G12" s="6" t="s">
        <v>403</v>
      </c>
      <c r="H12" s="7" t="s">
        <v>110</v>
      </c>
      <c r="I12" s="11">
        <v>46320.0</v>
      </c>
      <c r="J12" s="15" t="s">
        <v>221</v>
      </c>
      <c r="K12" s="16">
        <v>46320.416666666664</v>
      </c>
      <c r="L12" s="11"/>
      <c r="M12" s="5" t="s">
        <v>160</v>
      </c>
      <c r="N12" s="5" t="s">
        <v>404</v>
      </c>
      <c r="O12" s="5" t="b">
        <v>1</v>
      </c>
      <c r="P12" s="5" t="s">
        <v>405</v>
      </c>
      <c r="Q12" s="17"/>
      <c r="R12" s="18"/>
      <c r="S12" s="2"/>
      <c r="T12" s="2"/>
      <c r="U12" s="2"/>
      <c r="V12" s="2"/>
      <c r="W12" s="2"/>
      <c r="X12" s="2"/>
      <c r="Y12" s="2"/>
      <c r="Z12" s="2"/>
    </row>
    <row r="13">
      <c r="A13" s="12" t="s">
        <v>406</v>
      </c>
      <c r="B13" s="12" t="s">
        <v>40</v>
      </c>
      <c r="C13" s="12" t="s">
        <v>407</v>
      </c>
      <c r="D13" s="12" t="s">
        <v>408</v>
      </c>
      <c r="E13" s="12" t="s">
        <v>409</v>
      </c>
      <c r="F13" s="12" t="s">
        <v>410</v>
      </c>
      <c r="G13" s="10" t="s">
        <v>411</v>
      </c>
      <c r="H13" s="19" t="s">
        <v>110</v>
      </c>
      <c r="I13" s="21">
        <v>46349.0</v>
      </c>
      <c r="J13" s="22" t="s">
        <v>74</v>
      </c>
      <c r="K13" s="23">
        <v>46320.416666666664</v>
      </c>
      <c r="L13" s="21"/>
      <c r="M13" s="12" t="s">
        <v>83</v>
      </c>
      <c r="N13" s="12" t="s">
        <v>412</v>
      </c>
      <c r="O13" s="12" t="b">
        <v>0</v>
      </c>
      <c r="P13" s="12" t="s">
        <v>413</v>
      </c>
      <c r="Q13" s="17"/>
      <c r="R13" s="18"/>
      <c r="S13" s="2"/>
      <c r="T13" s="2"/>
      <c r="U13" s="2"/>
      <c r="V13" s="2"/>
      <c r="W13" s="2"/>
      <c r="X13" s="2"/>
      <c r="Y13" s="2"/>
      <c r="Z13" s="2"/>
    </row>
    <row r="14">
      <c r="A14" s="5" t="s">
        <v>415</v>
      </c>
      <c r="B14" s="5" t="s">
        <v>40</v>
      </c>
      <c r="C14" s="5" t="s">
        <v>417</v>
      </c>
      <c r="D14" s="5" t="s">
        <v>418</v>
      </c>
      <c r="E14" s="5" t="s">
        <v>419</v>
      </c>
      <c r="F14" s="5" t="s">
        <v>420</v>
      </c>
      <c r="G14" s="6" t="s">
        <v>421</v>
      </c>
      <c r="H14" s="7" t="s">
        <v>148</v>
      </c>
      <c r="I14" s="11">
        <v>46295.0</v>
      </c>
      <c r="J14" s="15" t="s">
        <v>152</v>
      </c>
      <c r="K14" s="16">
        <v>46320.416666666664</v>
      </c>
      <c r="L14" s="11">
        <v>46295.0</v>
      </c>
      <c r="M14" s="5" t="s">
        <v>157</v>
      </c>
      <c r="N14" s="5" t="s">
        <v>423</v>
      </c>
      <c r="O14" s="5" t="b">
        <v>0</v>
      </c>
      <c r="P14" s="5" t="s">
        <v>425</v>
      </c>
      <c r="Q14" s="17"/>
      <c r="R14" s="18"/>
      <c r="S14" s="2"/>
      <c r="T14" s="2"/>
      <c r="U14" s="2"/>
      <c r="V14" s="2"/>
      <c r="W14" s="2"/>
      <c r="X14" s="2"/>
      <c r="Y14" s="2"/>
      <c r="Z14" s="2"/>
    </row>
    <row r="15">
      <c r="A15" s="12" t="s">
        <v>427</v>
      </c>
      <c r="B15" s="12" t="s">
        <v>428</v>
      </c>
      <c r="C15" s="12" t="s">
        <v>430</v>
      </c>
      <c r="D15" s="12" t="s">
        <v>432</v>
      </c>
      <c r="E15" s="12" t="s">
        <v>433</v>
      </c>
      <c r="F15" s="12" t="s">
        <v>434</v>
      </c>
      <c r="G15" s="10" t="s">
        <v>435</v>
      </c>
      <c r="H15" s="19" t="s">
        <v>341</v>
      </c>
      <c r="I15" s="21">
        <v>46300.0</v>
      </c>
      <c r="J15" s="22" t="s">
        <v>437</v>
      </c>
      <c r="K15" s="23">
        <v>46320.416666666664</v>
      </c>
      <c r="L15" s="21">
        <v>46300.0</v>
      </c>
      <c r="M15" s="12" t="s">
        <v>157</v>
      </c>
      <c r="N15" s="12" t="s">
        <v>439</v>
      </c>
      <c r="O15" s="12" t="b">
        <v>0</v>
      </c>
      <c r="P15" s="12" t="s">
        <v>440</v>
      </c>
      <c r="Q15" s="17"/>
      <c r="R15" s="18"/>
      <c r="S15" s="2"/>
      <c r="T15" s="2"/>
      <c r="U15" s="2"/>
      <c r="V15" s="2"/>
      <c r="W15" s="2"/>
      <c r="X15" s="2"/>
      <c r="Y15" s="2"/>
      <c r="Z15" s="2"/>
    </row>
    <row r="16">
      <c r="A16" s="5" t="s">
        <v>443</v>
      </c>
      <c r="B16" s="5" t="s">
        <v>445</v>
      </c>
      <c r="C16" s="5" t="s">
        <v>446</v>
      </c>
      <c r="D16" s="5" t="s">
        <v>447</v>
      </c>
      <c r="E16" s="5" t="s">
        <v>448</v>
      </c>
      <c r="F16" s="5" t="s">
        <v>450</v>
      </c>
      <c r="G16" s="6" t="s">
        <v>451</v>
      </c>
      <c r="H16" s="7" t="s">
        <v>110</v>
      </c>
      <c r="I16" s="11">
        <v>46293.0</v>
      </c>
      <c r="J16" s="15" t="s">
        <v>437</v>
      </c>
      <c r="K16" s="16">
        <v>46320.416666666664</v>
      </c>
      <c r="L16" s="11">
        <v>46293.0</v>
      </c>
      <c r="M16" s="5" t="s">
        <v>157</v>
      </c>
      <c r="N16" s="5" t="s">
        <v>454</v>
      </c>
      <c r="O16" s="5" t="b">
        <v>0</v>
      </c>
      <c r="P16" s="5" t="s">
        <v>455</v>
      </c>
      <c r="Q16" s="17"/>
      <c r="R16" s="18"/>
      <c r="S16" s="2"/>
      <c r="T16" s="2"/>
      <c r="U16" s="2"/>
      <c r="V16" s="2"/>
      <c r="W16" s="2"/>
      <c r="X16" s="2"/>
      <c r="Y16" s="2"/>
      <c r="Z16" s="2"/>
    </row>
    <row r="17">
      <c r="A17" s="12" t="s">
        <v>458</v>
      </c>
      <c r="B17" s="12" t="s">
        <v>459</v>
      </c>
      <c r="C17" s="12" t="s">
        <v>460</v>
      </c>
      <c r="D17" s="12" t="s">
        <v>461</v>
      </c>
      <c r="E17" s="12" t="s">
        <v>46</v>
      </c>
      <c r="F17" s="12" t="s">
        <v>463</v>
      </c>
      <c r="G17" s="10" t="s">
        <v>464</v>
      </c>
      <c r="H17" s="19" t="s">
        <v>341</v>
      </c>
      <c r="I17" s="21">
        <v>46619.0</v>
      </c>
      <c r="J17" s="22" t="s">
        <v>74</v>
      </c>
      <c r="K17" s="23">
        <v>46320.416666666664</v>
      </c>
      <c r="L17" s="21"/>
      <c r="M17" s="12" t="s">
        <v>83</v>
      </c>
      <c r="N17" s="12" t="s">
        <v>467</v>
      </c>
      <c r="O17" s="12" t="b">
        <v>1</v>
      </c>
      <c r="P17" s="12" t="s">
        <v>468</v>
      </c>
      <c r="Q17" s="17"/>
      <c r="R17" s="18"/>
      <c r="S17" s="2"/>
      <c r="T17" s="2"/>
      <c r="U17" s="2"/>
      <c r="V17" s="2"/>
      <c r="W17" s="2"/>
      <c r="X17" s="2"/>
      <c r="Y17" s="2"/>
      <c r="Z17" s="2"/>
    </row>
    <row r="18">
      <c r="A18" s="5" t="s">
        <v>471</v>
      </c>
      <c r="B18" s="5" t="s">
        <v>473</v>
      </c>
      <c r="C18" s="5" t="s">
        <v>474</v>
      </c>
      <c r="D18" s="5" t="s">
        <v>475</v>
      </c>
      <c r="E18" s="5" t="s">
        <v>103</v>
      </c>
      <c r="F18" s="5" t="s">
        <v>477</v>
      </c>
      <c r="G18" s="6" t="s">
        <v>478</v>
      </c>
      <c r="H18" s="7" t="s">
        <v>341</v>
      </c>
      <c r="I18" s="11">
        <v>46321.0</v>
      </c>
      <c r="J18" s="15" t="s">
        <v>221</v>
      </c>
      <c r="K18" s="16">
        <v>46320.416666666664</v>
      </c>
      <c r="L18" s="11"/>
      <c r="M18" s="5" t="s">
        <v>83</v>
      </c>
      <c r="N18" s="5" t="s">
        <v>481</v>
      </c>
      <c r="O18" s="5" t="b">
        <v>1</v>
      </c>
      <c r="P18" s="5" t="s">
        <v>483</v>
      </c>
      <c r="Q18" s="17"/>
      <c r="R18" s="18"/>
      <c r="S18" s="2"/>
      <c r="T18" s="2"/>
      <c r="U18" s="2"/>
      <c r="V18" s="2"/>
      <c r="W18" s="2"/>
      <c r="X18" s="2"/>
      <c r="Y18" s="2"/>
      <c r="Z18" s="2"/>
    </row>
    <row r="19">
      <c r="A19" s="12" t="s">
        <v>484</v>
      </c>
      <c r="B19" s="12" t="s">
        <v>486</v>
      </c>
      <c r="C19" s="12" t="s">
        <v>487</v>
      </c>
      <c r="D19" s="12" t="s">
        <v>488</v>
      </c>
      <c r="E19" s="12" t="s">
        <v>142</v>
      </c>
      <c r="F19" s="12" t="s">
        <v>486</v>
      </c>
      <c r="G19" s="10" t="s">
        <v>490</v>
      </c>
      <c r="H19" s="19" t="s">
        <v>148</v>
      </c>
      <c r="I19" s="21">
        <v>46291.0</v>
      </c>
      <c r="J19" s="22" t="s">
        <v>152</v>
      </c>
      <c r="K19" s="23">
        <v>46320.416666666664</v>
      </c>
      <c r="L19" s="21">
        <v>46291.0</v>
      </c>
      <c r="M19" s="12" t="s">
        <v>157</v>
      </c>
      <c r="N19" s="12" t="s">
        <v>494</v>
      </c>
      <c r="O19" s="12" t="b">
        <v>0</v>
      </c>
      <c r="P19" s="12" t="s">
        <v>495</v>
      </c>
      <c r="Q19" s="17"/>
      <c r="R19" s="18"/>
      <c r="S19" s="2"/>
      <c r="T19" s="2"/>
      <c r="U19" s="2"/>
      <c r="V19" s="2"/>
      <c r="W19" s="2"/>
      <c r="X19" s="2"/>
      <c r="Y19" s="2"/>
      <c r="Z19" s="2"/>
    </row>
    <row r="20">
      <c r="A20" s="5" t="s">
        <v>497</v>
      </c>
      <c r="B20" s="5" t="s">
        <v>40</v>
      </c>
      <c r="C20" s="5" t="s">
        <v>498</v>
      </c>
      <c r="D20" s="5" t="s">
        <v>500</v>
      </c>
      <c r="E20" s="5" t="s">
        <v>211</v>
      </c>
      <c r="F20" s="5" t="s">
        <v>106</v>
      </c>
      <c r="G20" s="6" t="s">
        <v>501</v>
      </c>
      <c r="H20" s="7" t="s">
        <v>110</v>
      </c>
      <c r="I20" s="11">
        <v>46321.0</v>
      </c>
      <c r="J20" s="15" t="s">
        <v>221</v>
      </c>
      <c r="K20" s="16">
        <v>46320.416666666664</v>
      </c>
      <c r="L20" s="11"/>
      <c r="M20" s="5" t="s">
        <v>160</v>
      </c>
      <c r="N20" s="5" t="s">
        <v>506</v>
      </c>
      <c r="O20" s="5" t="b">
        <v>1</v>
      </c>
      <c r="P20" s="5" t="s">
        <v>507</v>
      </c>
      <c r="Q20" s="17"/>
      <c r="R20" s="18"/>
      <c r="S20" s="2"/>
      <c r="T20" s="2"/>
      <c r="U20" s="2"/>
      <c r="V20" s="2"/>
      <c r="W20" s="2"/>
      <c r="X20" s="2"/>
      <c r="Y20" s="2"/>
      <c r="Z20" s="2"/>
    </row>
    <row r="21">
      <c r="A21" s="12" t="s">
        <v>509</v>
      </c>
      <c r="B21" s="12" t="s">
        <v>473</v>
      </c>
      <c r="C21" s="12" t="s">
        <v>511</v>
      </c>
      <c r="D21" s="12" t="s">
        <v>513</v>
      </c>
      <c r="E21" s="12" t="s">
        <v>237</v>
      </c>
      <c r="F21" s="12" t="s">
        <v>514</v>
      </c>
      <c r="G21" s="10" t="s">
        <v>515</v>
      </c>
      <c r="H21" s="19" t="s">
        <v>50</v>
      </c>
      <c r="I21" s="21">
        <v>46319.0</v>
      </c>
      <c r="J21" s="22" t="s">
        <v>518</v>
      </c>
      <c r="K21" s="23">
        <v>46320.416666666664</v>
      </c>
      <c r="L21" s="21"/>
      <c r="M21" s="12" t="s">
        <v>160</v>
      </c>
      <c r="N21" s="12" t="s">
        <v>520</v>
      </c>
      <c r="O21" s="12" t="b">
        <v>1</v>
      </c>
      <c r="P21" s="12" t="s">
        <v>522</v>
      </c>
      <c r="Q21" s="17"/>
      <c r="R21" s="18"/>
      <c r="S21" s="2"/>
      <c r="T21" s="2"/>
      <c r="U21" s="2"/>
      <c r="V21" s="2"/>
      <c r="W21" s="2"/>
      <c r="X21" s="2"/>
      <c r="Y21" s="2"/>
      <c r="Z21" s="2"/>
    </row>
    <row r="22">
      <c r="A22" s="5" t="s">
        <v>524</v>
      </c>
      <c r="B22" s="5" t="s">
        <v>525</v>
      </c>
      <c r="C22" s="5" t="s">
        <v>527</v>
      </c>
      <c r="D22" s="5" t="s">
        <v>528</v>
      </c>
      <c r="E22" s="5" t="s">
        <v>303</v>
      </c>
      <c r="F22" s="5" t="s">
        <v>530</v>
      </c>
      <c r="G22" s="6" t="s">
        <v>531</v>
      </c>
      <c r="H22" s="7" t="s">
        <v>219</v>
      </c>
      <c r="I22" s="11">
        <v>46322.0</v>
      </c>
      <c r="J22" s="15" t="s">
        <v>74</v>
      </c>
      <c r="K22" s="16">
        <v>46320.416666666664</v>
      </c>
      <c r="L22" s="11"/>
      <c r="M22" s="5" t="s">
        <v>83</v>
      </c>
      <c r="N22" s="5" t="s">
        <v>534</v>
      </c>
      <c r="O22" s="5" t="b">
        <v>1</v>
      </c>
      <c r="P22" s="5" t="s">
        <v>536</v>
      </c>
      <c r="Q22" s="17"/>
      <c r="R22" s="18"/>
      <c r="S22" s="2"/>
      <c r="T22" s="2"/>
      <c r="U22" s="2"/>
      <c r="V22" s="2"/>
      <c r="W22" s="2"/>
      <c r="X22" s="2"/>
      <c r="Y22" s="2"/>
      <c r="Z22" s="2"/>
    </row>
    <row r="23">
      <c r="A23" s="12" t="s">
        <v>539</v>
      </c>
      <c r="B23" s="12" t="s">
        <v>540</v>
      </c>
      <c r="C23" s="12" t="s">
        <v>541</v>
      </c>
      <c r="D23" s="12" t="s">
        <v>542</v>
      </c>
      <c r="E23" s="12" t="s">
        <v>371</v>
      </c>
      <c r="F23" s="12" t="s">
        <v>544</v>
      </c>
      <c r="G23" s="10" t="s">
        <v>545</v>
      </c>
      <c r="H23" s="19" t="s">
        <v>270</v>
      </c>
      <c r="I23" s="21">
        <v>46320.0</v>
      </c>
      <c r="J23" s="22" t="s">
        <v>221</v>
      </c>
      <c r="K23" s="23">
        <v>46320.416666666664</v>
      </c>
      <c r="L23" s="21"/>
      <c r="M23" s="12" t="s">
        <v>83</v>
      </c>
      <c r="N23" s="12" t="s">
        <v>547</v>
      </c>
      <c r="O23" s="12" t="b">
        <v>1</v>
      </c>
      <c r="P23" s="12" t="s">
        <v>228</v>
      </c>
      <c r="Q23" s="17"/>
      <c r="R23" s="18"/>
      <c r="S23" s="2"/>
      <c r="T23" s="2"/>
      <c r="U23" s="2"/>
      <c r="V23" s="2"/>
      <c r="W23" s="2"/>
      <c r="X23" s="2"/>
      <c r="Y23" s="2"/>
      <c r="Z23" s="2"/>
    </row>
    <row r="24">
      <c r="A24" s="5" t="s">
        <v>548</v>
      </c>
      <c r="B24" s="5" t="s">
        <v>473</v>
      </c>
      <c r="C24" s="5" t="s">
        <v>549</v>
      </c>
      <c r="D24" s="5" t="s">
        <v>550</v>
      </c>
      <c r="E24" s="5" t="s">
        <v>376</v>
      </c>
      <c r="F24" s="5" t="s">
        <v>551</v>
      </c>
      <c r="G24" s="6" t="s">
        <v>552</v>
      </c>
      <c r="H24" s="7" t="s">
        <v>395</v>
      </c>
      <c r="I24" s="11">
        <v>46318.0</v>
      </c>
      <c r="J24" s="15" t="s">
        <v>553</v>
      </c>
      <c r="K24" s="16">
        <v>46320.416666666664</v>
      </c>
      <c r="L24" s="11"/>
      <c r="M24" s="5" t="s">
        <v>160</v>
      </c>
      <c r="N24" s="5" t="s">
        <v>555</v>
      </c>
      <c r="O24" s="5" t="b">
        <v>1</v>
      </c>
      <c r="P24" s="5" t="s">
        <v>556</v>
      </c>
      <c r="Q24" s="17"/>
      <c r="R24" s="18"/>
      <c r="S24" s="2"/>
      <c r="T24" s="2"/>
      <c r="U24" s="2"/>
      <c r="V24" s="2"/>
      <c r="W24" s="2"/>
      <c r="X24" s="2"/>
      <c r="Y24" s="2"/>
      <c r="Z24" s="2"/>
    </row>
    <row r="25">
      <c r="A25" s="12" t="s">
        <v>559</v>
      </c>
      <c r="B25" s="12" t="s">
        <v>40</v>
      </c>
      <c r="C25" s="12" t="s">
        <v>561</v>
      </c>
      <c r="D25" s="12" t="s">
        <v>562</v>
      </c>
      <c r="E25" s="12" t="s">
        <v>385</v>
      </c>
      <c r="F25" s="12" t="s">
        <v>564</v>
      </c>
      <c r="G25" s="10" t="s">
        <v>566</v>
      </c>
      <c r="H25" s="19" t="s">
        <v>307</v>
      </c>
      <c r="I25" s="21">
        <v>46317.0</v>
      </c>
      <c r="J25" s="22" t="s">
        <v>518</v>
      </c>
      <c r="K25" s="23">
        <v>46320.416666666664</v>
      </c>
      <c r="L25" s="21"/>
      <c r="M25" s="12" t="s">
        <v>168</v>
      </c>
      <c r="N25" s="12" t="s">
        <v>573</v>
      </c>
      <c r="O25" s="12" t="b">
        <v>1</v>
      </c>
      <c r="P25" s="12" t="s">
        <v>576</v>
      </c>
      <c r="Q25" s="17"/>
      <c r="R25" s="18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autoFilter ref="$A$1:$R$25"/>
  <conditionalFormatting sqref="K2:K25">
    <cfRule type="cellIs" dxfId="6" priority="1" stopIfTrue="1" operator="equal">
      <formula>"OVERDUE"</formula>
    </cfRule>
  </conditionalFormatting>
  <conditionalFormatting sqref="K2:K25">
    <cfRule type="cellIs" dxfId="8" priority="2" stopIfTrue="1" operator="equal">
      <formula>"ESCALATED"</formula>
    </cfRule>
  </conditionalFormatting>
  <conditionalFormatting sqref="K2:K25">
    <cfRule type="cellIs" dxfId="9" priority="3" stopIfTrue="1" operator="equal">
      <formula>"DUE"</formula>
    </cfRule>
  </conditionalFormatting>
  <conditionalFormatting sqref="K2:K25">
    <cfRule type="cellIs" dxfId="10" priority="4" stopIfTrue="1" operator="equal">
      <formula>"UPCOMING"</formula>
    </cfRule>
  </conditionalFormatting>
  <conditionalFormatting sqref="K2:K25">
    <cfRule type="cellIs" dxfId="11" priority="5" stopIfTrue="1" operator="equal">
      <formula>"COMPLETED"</formula>
    </cfRule>
  </conditionalFormatting>
  <conditionalFormatting sqref="K2:K25">
    <cfRule type="cellIs" dxfId="12" priority="6" stopIfTrue="1" operator="equal">
      <formula>"CANCELLED"</formula>
    </cfRule>
  </conditionalFormatting>
  <dataValidations>
    <dataValidation type="list" allowBlank="1" sqref="J2:J25">
      <formula1>"UPCOMING,DUE,OVERDUE,COMPLETED,CANCELLED,ESCALATED"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2.13"/>
    <col customWidth="1" min="3" max="3" width="12.25"/>
    <col customWidth="1" min="4" max="4" width="23.88"/>
    <col customWidth="1" min="5" max="5" width="43.88"/>
    <col customWidth="1" min="6" max="6" width="72.25"/>
    <col customWidth="1" min="7" max="7" width="19.75"/>
    <col customWidth="1" min="8" max="8" width="15.75"/>
    <col customWidth="1" min="9" max="9" width="12.5"/>
    <col customWidth="1" min="10" max="10" width="15.88"/>
    <col customWidth="1" min="11" max="11" width="15.75"/>
    <col customWidth="1" min="12" max="12" width="37.25"/>
    <col customWidth="1" min="13" max="13" width="15.38"/>
    <col customWidth="1" min="14" max="14" width="19.75"/>
    <col customWidth="1" min="15" max="15" width="49.13"/>
  </cols>
  <sheetData>
    <row r="1" ht="24.0" customHeight="1">
      <c r="A1" s="1" t="s">
        <v>1</v>
      </c>
      <c r="B1" s="1" t="s">
        <v>0</v>
      </c>
      <c r="C1" s="1" t="s">
        <v>5</v>
      </c>
      <c r="D1" s="1" t="s">
        <v>13</v>
      </c>
      <c r="E1" s="1" t="s">
        <v>16</v>
      </c>
      <c r="F1" s="1" t="s">
        <v>19</v>
      </c>
      <c r="G1" s="1" t="s">
        <v>21</v>
      </c>
      <c r="H1" s="1" t="s">
        <v>22</v>
      </c>
      <c r="I1" s="1" t="s">
        <v>26</v>
      </c>
      <c r="J1" s="1" t="s">
        <v>32</v>
      </c>
      <c r="K1" s="1" t="s">
        <v>34</v>
      </c>
      <c r="L1" s="1" t="s">
        <v>35</v>
      </c>
      <c r="M1" s="1" t="s">
        <v>36</v>
      </c>
      <c r="N1" s="1" t="s">
        <v>38</v>
      </c>
      <c r="O1" s="1" t="s">
        <v>28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49</v>
      </c>
      <c r="B2" s="5" t="s">
        <v>37</v>
      </c>
      <c r="C2" s="5" t="s">
        <v>43</v>
      </c>
      <c r="D2" s="5" t="s">
        <v>50</v>
      </c>
      <c r="E2" s="5" t="s">
        <v>51</v>
      </c>
      <c r="F2" s="5" t="s">
        <v>52</v>
      </c>
      <c r="G2" s="5" t="s">
        <v>62</v>
      </c>
      <c r="H2" s="14">
        <v>46309.416666666664</v>
      </c>
      <c r="I2" s="6" t="s">
        <v>78</v>
      </c>
      <c r="J2" s="14">
        <v>46309.59878472222</v>
      </c>
      <c r="K2" s="6" t="s">
        <v>81</v>
      </c>
      <c r="L2" s="4" t="s">
        <v>82</v>
      </c>
      <c r="M2" s="6" t="s">
        <v>93</v>
      </c>
      <c r="N2" s="5" t="s">
        <v>95</v>
      </c>
      <c r="O2" s="5" t="s">
        <v>97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100</v>
      </c>
      <c r="B3" s="12" t="s">
        <v>37</v>
      </c>
      <c r="C3" s="12" t="s">
        <v>43</v>
      </c>
      <c r="D3" s="12" t="s">
        <v>110</v>
      </c>
      <c r="E3" s="12" t="s">
        <v>111</v>
      </c>
      <c r="F3" s="12" t="s">
        <v>112</v>
      </c>
      <c r="G3" s="12" t="s">
        <v>113</v>
      </c>
      <c r="H3" s="20">
        <v>46319.677083333336</v>
      </c>
      <c r="I3" s="10" t="s">
        <v>116</v>
      </c>
      <c r="J3" s="20"/>
      <c r="K3" s="10" t="s">
        <v>117</v>
      </c>
      <c r="L3" s="8" t="s">
        <v>119</v>
      </c>
      <c r="M3" s="10" t="s">
        <v>122</v>
      </c>
      <c r="N3" s="12" t="s">
        <v>123</v>
      </c>
      <c r="O3" s="12" t="s">
        <v>124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129</v>
      </c>
      <c r="B4" s="5" t="s">
        <v>98</v>
      </c>
      <c r="C4" s="5" t="s">
        <v>101</v>
      </c>
      <c r="D4" s="5" t="s">
        <v>110</v>
      </c>
      <c r="E4" s="5" t="s">
        <v>133</v>
      </c>
      <c r="F4" s="5" t="s">
        <v>137</v>
      </c>
      <c r="G4" s="5" t="s">
        <v>139</v>
      </c>
      <c r="H4" s="14">
        <v>46313.479166666664</v>
      </c>
      <c r="I4" s="6" t="s">
        <v>78</v>
      </c>
      <c r="J4" s="14">
        <v>46314.38384259259</v>
      </c>
      <c r="K4" s="6" t="s">
        <v>117</v>
      </c>
      <c r="L4" s="4" t="s">
        <v>147</v>
      </c>
      <c r="M4" s="6" t="s">
        <v>93</v>
      </c>
      <c r="N4" s="5" t="s">
        <v>95</v>
      </c>
      <c r="O4" s="5" t="s">
        <v>153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156</v>
      </c>
      <c r="B5" s="12" t="s">
        <v>98</v>
      </c>
      <c r="C5" s="12" t="s">
        <v>101</v>
      </c>
      <c r="D5" s="12" t="s">
        <v>110</v>
      </c>
      <c r="E5" s="12" t="s">
        <v>159</v>
      </c>
      <c r="F5" s="12" t="s">
        <v>162</v>
      </c>
      <c r="G5" s="12" t="s">
        <v>113</v>
      </c>
      <c r="H5" s="20">
        <v>46318.375</v>
      </c>
      <c r="I5" s="10" t="s">
        <v>78</v>
      </c>
      <c r="J5" s="20">
        <v>46318.48960648148</v>
      </c>
      <c r="K5" s="10" t="s">
        <v>81</v>
      </c>
      <c r="L5" s="8" t="s">
        <v>167</v>
      </c>
      <c r="M5" s="10" t="s">
        <v>93</v>
      </c>
      <c r="N5" s="12" t="s">
        <v>123</v>
      </c>
      <c r="O5" s="12" t="s">
        <v>171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175</v>
      </c>
      <c r="B6" s="5" t="s">
        <v>134</v>
      </c>
      <c r="C6" s="5" t="s">
        <v>140</v>
      </c>
      <c r="D6" s="5" t="s">
        <v>110</v>
      </c>
      <c r="E6" s="5" t="s">
        <v>179</v>
      </c>
      <c r="F6" s="5" t="s">
        <v>180</v>
      </c>
      <c r="G6" s="5" t="s">
        <v>181</v>
      </c>
      <c r="H6" s="14">
        <v>46296.708333333336</v>
      </c>
      <c r="I6" s="6" t="s">
        <v>78</v>
      </c>
      <c r="J6" s="14">
        <v>46297.35438657407</v>
      </c>
      <c r="K6" s="6" t="s">
        <v>81</v>
      </c>
      <c r="L6" s="4" t="s">
        <v>184</v>
      </c>
      <c r="M6" s="6" t="s">
        <v>185</v>
      </c>
      <c r="N6" s="5" t="s">
        <v>95</v>
      </c>
      <c r="O6" s="5" t="s">
        <v>186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189</v>
      </c>
      <c r="B7" s="12" t="s">
        <v>191</v>
      </c>
      <c r="C7" s="12" t="s">
        <v>210</v>
      </c>
      <c r="D7" s="12" t="s">
        <v>219</v>
      </c>
      <c r="E7" s="12" t="s">
        <v>251</v>
      </c>
      <c r="F7" s="12" t="s">
        <v>253</v>
      </c>
      <c r="G7" s="12" t="s">
        <v>254</v>
      </c>
      <c r="H7" s="20">
        <v>46320.333333333336</v>
      </c>
      <c r="I7" s="10" t="s">
        <v>116</v>
      </c>
      <c r="J7" s="20"/>
      <c r="K7" s="10" t="s">
        <v>259</v>
      </c>
      <c r="L7" s="8" t="s">
        <v>261</v>
      </c>
      <c r="M7" s="10" t="s">
        <v>122</v>
      </c>
      <c r="N7" s="12" t="s">
        <v>123</v>
      </c>
      <c r="O7" s="12" t="s">
        <v>263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265</v>
      </c>
      <c r="B8" s="5" t="s">
        <v>191</v>
      </c>
      <c r="C8" s="5" t="s">
        <v>210</v>
      </c>
      <c r="D8" s="5" t="s">
        <v>270</v>
      </c>
      <c r="E8" s="5" t="s">
        <v>271</v>
      </c>
      <c r="F8" s="5" t="s">
        <v>272</v>
      </c>
      <c r="G8" s="5" t="s">
        <v>254</v>
      </c>
      <c r="H8" s="14">
        <v>46320.385416666664</v>
      </c>
      <c r="I8" s="6" t="s">
        <v>78</v>
      </c>
      <c r="J8" s="14">
        <v>46320.420277777775</v>
      </c>
      <c r="K8" s="6" t="s">
        <v>275</v>
      </c>
      <c r="L8" s="4" t="s">
        <v>276</v>
      </c>
      <c r="M8" s="6" t="s">
        <v>93</v>
      </c>
      <c r="N8" s="5" t="s">
        <v>123</v>
      </c>
      <c r="O8" s="5" t="s">
        <v>278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280</v>
      </c>
      <c r="B9" s="12" t="s">
        <v>233</v>
      </c>
      <c r="C9" s="12" t="s">
        <v>236</v>
      </c>
      <c r="D9" s="12" t="s">
        <v>148</v>
      </c>
      <c r="E9" s="12" t="s">
        <v>283</v>
      </c>
      <c r="F9" s="12" t="s">
        <v>284</v>
      </c>
      <c r="G9" s="12" t="s">
        <v>62</v>
      </c>
      <c r="H9" s="20">
        <v>46315.583333333336</v>
      </c>
      <c r="I9" s="10" t="s">
        <v>78</v>
      </c>
      <c r="J9" s="20">
        <v>46316.64791666667</v>
      </c>
      <c r="K9" s="10" t="s">
        <v>117</v>
      </c>
      <c r="L9" s="8" t="s">
        <v>289</v>
      </c>
      <c r="M9" s="10" t="s">
        <v>93</v>
      </c>
      <c r="N9" s="12" t="s">
        <v>95</v>
      </c>
      <c r="O9" s="12" t="s">
        <v>290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293</v>
      </c>
      <c r="B10" s="5" t="s">
        <v>257</v>
      </c>
      <c r="C10" s="5" t="s">
        <v>294</v>
      </c>
      <c r="D10" s="5" t="s">
        <v>110</v>
      </c>
      <c r="E10" s="5" t="s">
        <v>296</v>
      </c>
      <c r="F10" s="5" t="s">
        <v>298</v>
      </c>
      <c r="G10" s="5" t="s">
        <v>62</v>
      </c>
      <c r="H10" s="14">
        <v>46307.697916666664</v>
      </c>
      <c r="I10" s="6" t="s">
        <v>78</v>
      </c>
      <c r="J10" s="14">
        <v>46308.43113425926</v>
      </c>
      <c r="K10" s="6" t="s">
        <v>81</v>
      </c>
      <c r="L10" s="4" t="s">
        <v>301</v>
      </c>
      <c r="M10" s="6" t="s">
        <v>93</v>
      </c>
      <c r="N10" s="5" t="s">
        <v>95</v>
      </c>
      <c r="O10" s="5" t="s">
        <v>304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308</v>
      </c>
      <c r="B11" s="12" t="s">
        <v>257</v>
      </c>
      <c r="C11" s="12" t="s">
        <v>294</v>
      </c>
      <c r="D11" s="12" t="s">
        <v>307</v>
      </c>
      <c r="E11" s="12" t="s">
        <v>314</v>
      </c>
      <c r="F11" s="12" t="s">
        <v>315</v>
      </c>
      <c r="G11" s="12" t="s">
        <v>317</v>
      </c>
      <c r="H11" s="20">
        <v>46319.75</v>
      </c>
      <c r="I11" s="10" t="s">
        <v>116</v>
      </c>
      <c r="J11" s="20"/>
      <c r="K11" s="10" t="s">
        <v>259</v>
      </c>
      <c r="L11" s="8" t="s">
        <v>320</v>
      </c>
      <c r="M11" s="10" t="s">
        <v>122</v>
      </c>
      <c r="N11" s="12" t="s">
        <v>123</v>
      </c>
      <c r="O11" s="12" t="s">
        <v>321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324</v>
      </c>
      <c r="B12" s="5" t="s">
        <v>326</v>
      </c>
      <c r="C12" s="5" t="s">
        <v>327</v>
      </c>
      <c r="D12" s="5" t="s">
        <v>148</v>
      </c>
      <c r="E12" s="5" t="s">
        <v>328</v>
      </c>
      <c r="F12" s="5" t="s">
        <v>329</v>
      </c>
      <c r="G12" s="5" t="s">
        <v>62</v>
      </c>
      <c r="H12" s="14">
        <v>46314.506944444445</v>
      </c>
      <c r="I12" s="6" t="s">
        <v>78</v>
      </c>
      <c r="J12" s="14">
        <v>46315.45858796296</v>
      </c>
      <c r="K12" s="6" t="s">
        <v>117</v>
      </c>
      <c r="L12" s="4" t="s">
        <v>333</v>
      </c>
      <c r="M12" s="6" t="s">
        <v>93</v>
      </c>
      <c r="N12" s="5" t="s">
        <v>95</v>
      </c>
      <c r="O12" s="5" t="s">
        <v>334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338</v>
      </c>
      <c r="B13" s="12" t="s">
        <v>339</v>
      </c>
      <c r="C13" s="12" t="s">
        <v>340</v>
      </c>
      <c r="D13" s="12" t="s">
        <v>341</v>
      </c>
      <c r="E13" s="12" t="s">
        <v>414</v>
      </c>
      <c r="F13" s="12" t="s">
        <v>416</v>
      </c>
      <c r="G13" s="12" t="s">
        <v>254</v>
      </c>
      <c r="H13" s="20">
        <v>46320.354166666664</v>
      </c>
      <c r="I13" s="10" t="s">
        <v>116</v>
      </c>
      <c r="J13" s="20"/>
      <c r="K13" s="10" t="s">
        <v>259</v>
      </c>
      <c r="L13" s="8" t="s">
        <v>422</v>
      </c>
      <c r="M13" s="10" t="s">
        <v>122</v>
      </c>
      <c r="N13" s="12" t="s">
        <v>123</v>
      </c>
      <c r="O13" s="12" t="s">
        <v>424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426</v>
      </c>
      <c r="B14" s="5" t="s">
        <v>381</v>
      </c>
      <c r="C14" s="5" t="s">
        <v>384</v>
      </c>
      <c r="D14" s="5" t="s">
        <v>270</v>
      </c>
      <c r="E14" s="5" t="s">
        <v>429</v>
      </c>
      <c r="F14" s="5" t="s">
        <v>431</v>
      </c>
      <c r="G14" s="5" t="s">
        <v>62</v>
      </c>
      <c r="H14" s="14">
        <v>46318.47222222222</v>
      </c>
      <c r="I14" s="6" t="s">
        <v>78</v>
      </c>
      <c r="J14" s="14">
        <v>46318.611238425925</v>
      </c>
      <c r="K14" s="6" t="s">
        <v>117</v>
      </c>
      <c r="L14" s="4" t="s">
        <v>436</v>
      </c>
      <c r="M14" s="6" t="s">
        <v>93</v>
      </c>
      <c r="N14" s="5" t="s">
        <v>95</v>
      </c>
      <c r="O14" s="5" t="s">
        <v>438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441</v>
      </c>
      <c r="B15" s="12" t="s">
        <v>389</v>
      </c>
      <c r="C15" s="12" t="s">
        <v>391</v>
      </c>
      <c r="D15" s="12" t="s">
        <v>395</v>
      </c>
      <c r="E15" s="12" t="s">
        <v>442</v>
      </c>
      <c r="F15" s="12" t="s">
        <v>444</v>
      </c>
      <c r="G15" s="12" t="s">
        <v>62</v>
      </c>
      <c r="H15" s="20">
        <v>46316.625</v>
      </c>
      <c r="I15" s="10" t="s">
        <v>78</v>
      </c>
      <c r="J15" s="20">
        <v>46317.38576388889</v>
      </c>
      <c r="K15" s="10" t="s">
        <v>81</v>
      </c>
      <c r="L15" s="8" t="s">
        <v>449</v>
      </c>
      <c r="M15" s="10" t="s">
        <v>93</v>
      </c>
      <c r="N15" s="12" t="s">
        <v>95</v>
      </c>
      <c r="O15" s="12" t="s">
        <v>452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453</v>
      </c>
      <c r="B16" s="5" t="s">
        <v>398</v>
      </c>
      <c r="C16" s="5" t="s">
        <v>400</v>
      </c>
      <c r="D16" s="5" t="s">
        <v>110</v>
      </c>
      <c r="E16" s="5" t="s">
        <v>456</v>
      </c>
      <c r="F16" s="5" t="s">
        <v>457</v>
      </c>
      <c r="G16" s="5" t="s">
        <v>113</v>
      </c>
      <c r="H16" s="14">
        <v>46319.708333333336</v>
      </c>
      <c r="I16" s="6" t="s">
        <v>78</v>
      </c>
      <c r="J16" s="14">
        <v>46319.739699074074</v>
      </c>
      <c r="K16" s="6" t="s">
        <v>275</v>
      </c>
      <c r="L16" s="4" t="s">
        <v>462</v>
      </c>
      <c r="M16" s="6" t="s">
        <v>93</v>
      </c>
      <c r="N16" s="5" t="s">
        <v>123</v>
      </c>
      <c r="O16" s="5" t="s">
        <v>465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466</v>
      </c>
      <c r="B17" s="12" t="s">
        <v>398</v>
      </c>
      <c r="C17" s="12" t="s">
        <v>400</v>
      </c>
      <c r="D17" s="12" t="s">
        <v>110</v>
      </c>
      <c r="E17" s="12" t="s">
        <v>469</v>
      </c>
      <c r="F17" s="12" t="s">
        <v>470</v>
      </c>
      <c r="G17" s="12" t="s">
        <v>254</v>
      </c>
      <c r="H17" s="20">
        <v>46320.3125</v>
      </c>
      <c r="I17" s="10" t="s">
        <v>116</v>
      </c>
      <c r="J17" s="20"/>
      <c r="K17" s="10" t="s">
        <v>117</v>
      </c>
      <c r="L17" s="8" t="s">
        <v>472</v>
      </c>
      <c r="M17" s="10" t="s">
        <v>122</v>
      </c>
      <c r="N17" s="12" t="s">
        <v>123</v>
      </c>
      <c r="O17" s="12" t="s">
        <v>476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479</v>
      </c>
      <c r="B18" s="5" t="s">
        <v>406</v>
      </c>
      <c r="C18" s="5" t="s">
        <v>408</v>
      </c>
      <c r="D18" s="5" t="s">
        <v>110</v>
      </c>
      <c r="E18" s="5" t="s">
        <v>480</v>
      </c>
      <c r="F18" s="5" t="s">
        <v>482</v>
      </c>
      <c r="G18" s="5" t="s">
        <v>62</v>
      </c>
      <c r="H18" s="14">
        <v>46319.59027777778</v>
      </c>
      <c r="I18" s="6" t="s">
        <v>78</v>
      </c>
      <c r="J18" s="14">
        <v>46319.62552083333</v>
      </c>
      <c r="K18" s="6" t="s">
        <v>117</v>
      </c>
      <c r="L18" s="4" t="s">
        <v>485</v>
      </c>
      <c r="M18" s="6" t="s">
        <v>93</v>
      </c>
      <c r="N18" s="5" t="s">
        <v>95</v>
      </c>
      <c r="O18" s="5" t="s">
        <v>489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491</v>
      </c>
      <c r="B19" s="12" t="s">
        <v>415</v>
      </c>
      <c r="C19" s="12" t="s">
        <v>418</v>
      </c>
      <c r="D19" s="12" t="s">
        <v>110</v>
      </c>
      <c r="E19" s="12" t="s">
        <v>492</v>
      </c>
      <c r="F19" s="12" t="s">
        <v>493</v>
      </c>
      <c r="G19" s="12" t="s">
        <v>181</v>
      </c>
      <c r="H19" s="20">
        <v>46295.75</v>
      </c>
      <c r="I19" s="10" t="s">
        <v>78</v>
      </c>
      <c r="J19" s="20">
        <v>46296.381944444445</v>
      </c>
      <c r="K19" s="10" t="s">
        <v>81</v>
      </c>
      <c r="L19" s="8" t="s">
        <v>496</v>
      </c>
      <c r="M19" s="10" t="s">
        <v>185</v>
      </c>
      <c r="N19" s="12" t="s">
        <v>95</v>
      </c>
      <c r="O19" s="12" t="s">
        <v>499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502</v>
      </c>
      <c r="B20" s="5" t="s">
        <v>427</v>
      </c>
      <c r="C20" s="5" t="s">
        <v>432</v>
      </c>
      <c r="D20" s="5" t="s">
        <v>110</v>
      </c>
      <c r="E20" s="5" t="s">
        <v>503</v>
      </c>
      <c r="F20" s="5" t="s">
        <v>504</v>
      </c>
      <c r="G20" s="5" t="s">
        <v>505</v>
      </c>
      <c r="H20" s="14">
        <v>46300.6875</v>
      </c>
      <c r="I20" s="6" t="s">
        <v>78</v>
      </c>
      <c r="J20" s="14">
        <v>46301.42664351852</v>
      </c>
      <c r="K20" s="6" t="s">
        <v>81</v>
      </c>
      <c r="L20" s="4" t="s">
        <v>508</v>
      </c>
      <c r="M20" s="6" t="s">
        <v>185</v>
      </c>
      <c r="N20" s="5" t="s">
        <v>95</v>
      </c>
      <c r="O20" s="5" t="s">
        <v>510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512</v>
      </c>
      <c r="B21" s="12" t="s">
        <v>443</v>
      </c>
      <c r="C21" s="12" t="s">
        <v>447</v>
      </c>
      <c r="D21" s="12" t="s">
        <v>110</v>
      </c>
      <c r="E21" s="12" t="s">
        <v>516</v>
      </c>
      <c r="F21" s="12" t="s">
        <v>517</v>
      </c>
      <c r="G21" s="12" t="s">
        <v>505</v>
      </c>
      <c r="H21" s="20">
        <v>46293.65625</v>
      </c>
      <c r="I21" s="10" t="s">
        <v>78</v>
      </c>
      <c r="J21" s="20">
        <v>46294.472337962965</v>
      </c>
      <c r="K21" s="10" t="s">
        <v>117</v>
      </c>
      <c r="L21" s="8" t="s">
        <v>519</v>
      </c>
      <c r="M21" s="10" t="s">
        <v>185</v>
      </c>
      <c r="N21" s="12" t="s">
        <v>95</v>
      </c>
      <c r="O21" s="12" t="s">
        <v>521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523</v>
      </c>
      <c r="B22" s="5" t="s">
        <v>458</v>
      </c>
      <c r="C22" s="5" t="s">
        <v>461</v>
      </c>
      <c r="D22" s="5" t="s">
        <v>341</v>
      </c>
      <c r="E22" s="5" t="s">
        <v>526</v>
      </c>
      <c r="F22" s="5" t="s">
        <v>529</v>
      </c>
      <c r="G22" s="5" t="s">
        <v>505</v>
      </c>
      <c r="H22" s="14">
        <v>46254.416666666664</v>
      </c>
      <c r="I22" s="6" t="s">
        <v>78</v>
      </c>
      <c r="J22" s="14">
        <v>46254.46875</v>
      </c>
      <c r="K22" s="6" t="s">
        <v>259</v>
      </c>
      <c r="L22" s="4" t="s">
        <v>532</v>
      </c>
      <c r="M22" s="6" t="s">
        <v>185</v>
      </c>
      <c r="N22" s="5" t="s">
        <v>95</v>
      </c>
      <c r="O22" s="5" t="s">
        <v>533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 t="s">
        <v>535</v>
      </c>
      <c r="B23" s="12" t="s">
        <v>471</v>
      </c>
      <c r="C23" s="12" t="s">
        <v>475</v>
      </c>
      <c r="D23" s="12" t="s">
        <v>341</v>
      </c>
      <c r="E23" s="12" t="s">
        <v>537</v>
      </c>
      <c r="F23" s="12" t="s">
        <v>538</v>
      </c>
      <c r="G23" s="12" t="s">
        <v>62</v>
      </c>
      <c r="H23" s="20">
        <v>46318.666666666664</v>
      </c>
      <c r="I23" s="10" t="s">
        <v>78</v>
      </c>
      <c r="J23" s="20">
        <v>46319.396006944444</v>
      </c>
      <c r="K23" s="10" t="s">
        <v>117</v>
      </c>
      <c r="L23" s="8" t="s">
        <v>543</v>
      </c>
      <c r="M23" s="10" t="s">
        <v>93</v>
      </c>
      <c r="N23" s="12" t="s">
        <v>95</v>
      </c>
      <c r="O23" s="12" t="s">
        <v>546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554</v>
      </c>
      <c r="B24" s="5" t="s">
        <v>497</v>
      </c>
      <c r="C24" s="5" t="s">
        <v>500</v>
      </c>
      <c r="D24" s="5" t="s">
        <v>110</v>
      </c>
      <c r="E24" s="5" t="s">
        <v>557</v>
      </c>
      <c r="F24" s="5" t="s">
        <v>558</v>
      </c>
      <c r="G24" s="5" t="s">
        <v>139</v>
      </c>
      <c r="H24" s="14">
        <v>46319.6875</v>
      </c>
      <c r="I24" s="6" t="s">
        <v>78</v>
      </c>
      <c r="J24" s="14">
        <v>46319.757002314815</v>
      </c>
      <c r="K24" s="6" t="s">
        <v>81</v>
      </c>
      <c r="L24" s="4" t="s">
        <v>560</v>
      </c>
      <c r="M24" s="6" t="s">
        <v>93</v>
      </c>
      <c r="N24" s="5" t="s">
        <v>123</v>
      </c>
      <c r="O24" s="5" t="s">
        <v>563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565</v>
      </c>
      <c r="B25" s="12" t="s">
        <v>497</v>
      </c>
      <c r="C25" s="12" t="s">
        <v>500</v>
      </c>
      <c r="D25" s="12" t="s">
        <v>110</v>
      </c>
      <c r="E25" s="12" t="s">
        <v>567</v>
      </c>
      <c r="F25" s="12" t="s">
        <v>568</v>
      </c>
      <c r="G25" s="12" t="s">
        <v>113</v>
      </c>
      <c r="H25" s="20">
        <v>46320.333333333336</v>
      </c>
      <c r="I25" s="10" t="s">
        <v>116</v>
      </c>
      <c r="J25" s="20"/>
      <c r="K25" s="10" t="s">
        <v>275</v>
      </c>
      <c r="L25" s="8" t="s">
        <v>569</v>
      </c>
      <c r="M25" s="10" t="s">
        <v>122</v>
      </c>
      <c r="N25" s="12" t="s">
        <v>123</v>
      </c>
      <c r="O25" s="12" t="s">
        <v>570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571</v>
      </c>
      <c r="B26" s="5" t="s">
        <v>509</v>
      </c>
      <c r="C26" s="5" t="s">
        <v>513</v>
      </c>
      <c r="D26" s="5" t="s">
        <v>395</v>
      </c>
      <c r="E26" s="5" t="s">
        <v>572</v>
      </c>
      <c r="F26" s="5" t="s">
        <v>574</v>
      </c>
      <c r="G26" s="5" t="s">
        <v>575</v>
      </c>
      <c r="H26" s="14">
        <v>46320.375</v>
      </c>
      <c r="I26" s="6" t="s">
        <v>116</v>
      </c>
      <c r="J26" s="14"/>
      <c r="K26" s="6" t="s">
        <v>81</v>
      </c>
      <c r="L26" s="4" t="s">
        <v>577</v>
      </c>
      <c r="M26" s="6" t="s">
        <v>122</v>
      </c>
      <c r="N26" s="5" t="s">
        <v>123</v>
      </c>
      <c r="O26" s="5" t="s">
        <v>578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 t="s">
        <v>579</v>
      </c>
      <c r="B27" s="12" t="s">
        <v>539</v>
      </c>
      <c r="C27" s="12" t="s">
        <v>542</v>
      </c>
      <c r="D27" s="12" t="s">
        <v>270</v>
      </c>
      <c r="E27" s="12" t="s">
        <v>580</v>
      </c>
      <c r="F27" s="12" t="s">
        <v>581</v>
      </c>
      <c r="G27" s="12" t="s">
        <v>254</v>
      </c>
      <c r="H27" s="20">
        <v>46320.395833333336</v>
      </c>
      <c r="I27" s="10" t="s">
        <v>116</v>
      </c>
      <c r="J27" s="20"/>
      <c r="K27" s="10" t="s">
        <v>259</v>
      </c>
      <c r="L27" s="8" t="s">
        <v>582</v>
      </c>
      <c r="M27" s="10" t="s">
        <v>122</v>
      </c>
      <c r="N27" s="12" t="s">
        <v>123</v>
      </c>
      <c r="O27" s="12" t="s">
        <v>583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584</v>
      </c>
      <c r="B28" s="5" t="s">
        <v>548</v>
      </c>
      <c r="C28" s="5" t="s">
        <v>550</v>
      </c>
      <c r="D28" s="5" t="s">
        <v>395</v>
      </c>
      <c r="E28" s="5" t="s">
        <v>585</v>
      </c>
      <c r="F28" s="5" t="s">
        <v>586</v>
      </c>
      <c r="G28" s="5" t="s">
        <v>587</v>
      </c>
      <c r="H28" s="14">
        <v>46320.416666666664</v>
      </c>
      <c r="I28" s="6" t="s">
        <v>116</v>
      </c>
      <c r="J28" s="14"/>
      <c r="K28" s="6" t="s">
        <v>117</v>
      </c>
      <c r="L28" s="4" t="s">
        <v>588</v>
      </c>
      <c r="M28" s="6" t="s">
        <v>122</v>
      </c>
      <c r="N28" s="5" t="s">
        <v>123</v>
      </c>
      <c r="O28" s="5" t="s">
        <v>589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 t="s">
        <v>590</v>
      </c>
      <c r="B29" s="12" t="s">
        <v>559</v>
      </c>
      <c r="C29" s="12" t="s">
        <v>562</v>
      </c>
      <c r="D29" s="12" t="s">
        <v>307</v>
      </c>
      <c r="E29" s="12" t="s">
        <v>591</v>
      </c>
      <c r="F29" s="12" t="s">
        <v>592</v>
      </c>
      <c r="G29" s="12" t="s">
        <v>575</v>
      </c>
      <c r="H29" s="20">
        <v>46319.99930555555</v>
      </c>
      <c r="I29" s="10" t="s">
        <v>78</v>
      </c>
      <c r="J29" s="20">
        <v>46320.34409722222</v>
      </c>
      <c r="K29" s="10" t="s">
        <v>117</v>
      </c>
      <c r="L29" s="8" t="s">
        <v>593</v>
      </c>
      <c r="M29" s="10" t="s">
        <v>93</v>
      </c>
      <c r="N29" s="12" t="s">
        <v>123</v>
      </c>
      <c r="O29" s="12" t="s">
        <v>594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595</v>
      </c>
      <c r="B30" s="5" t="s">
        <v>559</v>
      </c>
      <c r="C30" s="5" t="s">
        <v>562</v>
      </c>
      <c r="D30" s="5" t="s">
        <v>110</v>
      </c>
      <c r="E30" s="5" t="s">
        <v>596</v>
      </c>
      <c r="F30" s="5" t="s">
        <v>597</v>
      </c>
      <c r="G30" s="5" t="s">
        <v>62</v>
      </c>
      <c r="H30" s="14">
        <v>46320.354166666664</v>
      </c>
      <c r="I30" s="6" t="s">
        <v>116</v>
      </c>
      <c r="J30" s="14"/>
      <c r="K30" s="6" t="s">
        <v>81</v>
      </c>
      <c r="L30" s="4" t="s">
        <v>598</v>
      </c>
      <c r="M30" s="6" t="s">
        <v>122</v>
      </c>
      <c r="N30" s="5" t="s">
        <v>123</v>
      </c>
      <c r="O30" s="5" t="s">
        <v>599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 t="s">
        <v>600</v>
      </c>
      <c r="B31" s="12" t="s">
        <v>524</v>
      </c>
      <c r="C31" s="12" t="s">
        <v>528</v>
      </c>
      <c r="D31" s="12" t="s">
        <v>219</v>
      </c>
      <c r="E31" s="12" t="s">
        <v>601</v>
      </c>
      <c r="F31" s="12" t="s">
        <v>602</v>
      </c>
      <c r="G31" s="12" t="s">
        <v>62</v>
      </c>
      <c r="H31" s="20">
        <v>46312.458333333336</v>
      </c>
      <c r="I31" s="10" t="s">
        <v>78</v>
      </c>
      <c r="J31" s="20">
        <v>46313.395833333336</v>
      </c>
      <c r="K31" s="12" t="s">
        <v>81</v>
      </c>
      <c r="L31" s="12" t="s">
        <v>603</v>
      </c>
      <c r="M31" s="10" t="s">
        <v>93</v>
      </c>
      <c r="N31" s="12" t="s">
        <v>123</v>
      </c>
      <c r="O31" s="12" t="s">
        <v>604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autoFilter ref="$A$1:$O$30"/>
  <conditionalFormatting sqref="L2:L30">
    <cfRule type="cellIs" dxfId="4" priority="1" stopIfTrue="1" operator="equal">
      <formula>"UNREAD"</formula>
    </cfRule>
  </conditionalFormatting>
  <conditionalFormatting sqref="L2:L30">
    <cfRule type="cellIs" dxfId="5" priority="2" stopIfTrue="1" operator="equal">
      <formula>"READ"</formula>
    </cfRule>
  </conditionalFormatting>
  <conditionalFormatting sqref="H2:H30">
    <cfRule type="cellIs" dxfId="6" priority="3" stopIfTrue="1" operator="equal">
      <formula>"CRITICAL"</formula>
    </cfRule>
  </conditionalFormatting>
  <conditionalFormatting sqref="H2:H30">
    <cfRule type="cellIs" dxfId="7" priority="4" stopIfTrue="1" operator="equal">
      <formula>"HIGH"</formula>
    </cfRule>
  </conditionalFormatting>
  <dataValidations>
    <dataValidation type="list" allowBlank="1" sqref="I2:I31">
      <formula1>"READ,UNREAD"</formula1>
    </dataValidation>
    <dataValidation type="list" allowBlank="1" sqref="M2:M31">
      <formula1>"SENT,DELIVERED,RECORDED,PENDING"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3.88"/>
    <col customWidth="1" min="3" max="3" width="11.5"/>
    <col customWidth="1" min="4" max="4" width="361.38"/>
    <col customWidth="1" min="5" max="5" width="67.25"/>
  </cols>
  <sheetData>
    <row r="1" ht="24.0" customHeight="1">
      <c r="A1" s="1" t="s">
        <v>2</v>
      </c>
      <c r="B1" s="1" t="s">
        <v>10</v>
      </c>
      <c r="C1" s="1" t="s">
        <v>12</v>
      </c>
      <c r="D1" s="1" t="s">
        <v>15</v>
      </c>
      <c r="E1" s="1" t="s">
        <v>18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33</v>
      </c>
      <c r="B2" s="4" t="s">
        <v>0</v>
      </c>
      <c r="C2" s="6" t="s">
        <v>39</v>
      </c>
      <c r="D2" s="5" t="s">
        <v>42</v>
      </c>
      <c r="E2" s="5" t="s">
        <v>45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33</v>
      </c>
      <c r="B3" s="8" t="s">
        <v>3</v>
      </c>
      <c r="C3" s="10" t="s">
        <v>39</v>
      </c>
      <c r="D3" s="12" t="s">
        <v>56</v>
      </c>
      <c r="E3" s="12" t="s">
        <v>57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33</v>
      </c>
      <c r="B4" s="4" t="s">
        <v>4</v>
      </c>
      <c r="C4" s="6" t="s">
        <v>39</v>
      </c>
      <c r="D4" s="5" t="s">
        <v>63</v>
      </c>
      <c r="E4" s="5" t="s">
        <v>64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33</v>
      </c>
      <c r="B5" s="8" t="s">
        <v>5</v>
      </c>
      <c r="C5" s="10" t="s">
        <v>39</v>
      </c>
      <c r="D5" s="12" t="s">
        <v>66</v>
      </c>
      <c r="E5" s="12" t="s">
        <v>68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33</v>
      </c>
      <c r="B6" s="4" t="s">
        <v>6</v>
      </c>
      <c r="C6" s="6" t="s">
        <v>39</v>
      </c>
      <c r="D6" s="5" t="s">
        <v>75</v>
      </c>
      <c r="E6" s="5" t="s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33</v>
      </c>
      <c r="B7" s="8" t="s">
        <v>7</v>
      </c>
      <c r="C7" s="10" t="s">
        <v>39</v>
      </c>
      <c r="D7" s="12" t="s">
        <v>90</v>
      </c>
      <c r="E7" s="12" t="s">
        <v>91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33</v>
      </c>
      <c r="B8" s="4" t="s">
        <v>8</v>
      </c>
      <c r="C8" s="6" t="s">
        <v>39</v>
      </c>
      <c r="D8" s="5" t="s">
        <v>102</v>
      </c>
      <c r="E8" s="5" t="s">
        <v>105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33</v>
      </c>
      <c r="B9" s="8" t="s">
        <v>9</v>
      </c>
      <c r="C9" s="10" t="s">
        <v>39</v>
      </c>
      <c r="D9" s="12" t="s">
        <v>120</v>
      </c>
      <c r="E9" s="12" t="s">
        <v>121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33</v>
      </c>
      <c r="B10" s="4" t="s">
        <v>11</v>
      </c>
      <c r="C10" s="6" t="s">
        <v>131</v>
      </c>
      <c r="D10" s="5" t="s">
        <v>132</v>
      </c>
      <c r="E10" s="5" t="s">
        <v>135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33</v>
      </c>
      <c r="B11" s="8" t="s">
        <v>14</v>
      </c>
      <c r="C11" s="10" t="s">
        <v>39</v>
      </c>
      <c r="D11" s="12" t="s">
        <v>149</v>
      </c>
      <c r="E11" s="12" t="s">
        <v>151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33</v>
      </c>
      <c r="B12" s="4" t="s">
        <v>17</v>
      </c>
      <c r="C12" s="6" t="s">
        <v>163</v>
      </c>
      <c r="D12" s="5" t="s">
        <v>165</v>
      </c>
      <c r="E12" s="5" t="s">
        <v>166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33</v>
      </c>
      <c r="B13" s="8" t="s">
        <v>20</v>
      </c>
      <c r="C13" s="10" t="s">
        <v>131</v>
      </c>
      <c r="D13" s="12" t="s">
        <v>172</v>
      </c>
      <c r="E13" s="12" t="s">
        <v>173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33</v>
      </c>
      <c r="B14" s="4" t="s">
        <v>23</v>
      </c>
      <c r="C14" s="6" t="s">
        <v>39</v>
      </c>
      <c r="D14" s="5" t="s">
        <v>182</v>
      </c>
      <c r="E14" s="5" t="s">
        <v>183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33</v>
      </c>
      <c r="B15" s="8" t="s">
        <v>24</v>
      </c>
      <c r="C15" s="10" t="s">
        <v>39</v>
      </c>
      <c r="D15" s="12" t="s">
        <v>187</v>
      </c>
      <c r="E15" s="12" t="s">
        <v>188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33</v>
      </c>
      <c r="B16" s="4" t="s">
        <v>27</v>
      </c>
      <c r="C16" s="6" t="s">
        <v>194</v>
      </c>
      <c r="D16" s="5" t="s">
        <v>195</v>
      </c>
      <c r="E16" s="5" t="s">
        <v>196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33</v>
      </c>
      <c r="B17" s="8" t="s">
        <v>28</v>
      </c>
      <c r="C17" s="10" t="s">
        <v>39</v>
      </c>
      <c r="D17" s="12" t="s">
        <v>201</v>
      </c>
      <c r="E17" s="12" t="s">
        <v>202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208</v>
      </c>
      <c r="B18" s="4" t="s">
        <v>1</v>
      </c>
      <c r="C18" s="6" t="s">
        <v>39</v>
      </c>
      <c r="D18" s="5" t="s">
        <v>212</v>
      </c>
      <c r="E18" s="5" t="s">
        <v>216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208</v>
      </c>
      <c r="B19" s="8" t="s">
        <v>0</v>
      </c>
      <c r="C19" s="10" t="s">
        <v>39</v>
      </c>
      <c r="D19" s="12" t="s">
        <v>225</v>
      </c>
      <c r="E19" s="12" t="s">
        <v>227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208</v>
      </c>
      <c r="B20" s="4" t="s">
        <v>5</v>
      </c>
      <c r="C20" s="6" t="s">
        <v>39</v>
      </c>
      <c r="D20" s="5" t="s">
        <v>66</v>
      </c>
      <c r="E20" s="5" t="s">
        <v>239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208</v>
      </c>
      <c r="B21" s="8" t="s">
        <v>13</v>
      </c>
      <c r="C21" s="10" t="s">
        <v>39</v>
      </c>
      <c r="D21" s="12" t="s">
        <v>120</v>
      </c>
      <c r="E21" s="12" t="s">
        <v>250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208</v>
      </c>
      <c r="B22" s="4" t="s">
        <v>16</v>
      </c>
      <c r="C22" s="6" t="s">
        <v>39</v>
      </c>
      <c r="D22" s="5" t="s">
        <v>262</v>
      </c>
      <c r="E22" s="5" t="s">
        <v>264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208</v>
      </c>
      <c r="B23" s="8" t="s">
        <v>19</v>
      </c>
      <c r="C23" s="10" t="s">
        <v>39</v>
      </c>
      <c r="D23" s="12" t="s">
        <v>266</v>
      </c>
      <c r="E23" s="12" t="s">
        <v>267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208</v>
      </c>
      <c r="B24" s="4" t="s">
        <v>21</v>
      </c>
      <c r="C24" s="6" t="s">
        <v>39</v>
      </c>
      <c r="D24" s="5" t="s">
        <v>268</v>
      </c>
      <c r="E24" s="5" t="s">
        <v>269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208</v>
      </c>
      <c r="B25" s="8" t="s">
        <v>22</v>
      </c>
      <c r="C25" s="10" t="s">
        <v>163</v>
      </c>
      <c r="D25" s="12" t="s">
        <v>273</v>
      </c>
      <c r="E25" s="12" t="s">
        <v>274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208</v>
      </c>
      <c r="B26" s="4" t="s">
        <v>26</v>
      </c>
      <c r="C26" s="6" t="s">
        <v>39</v>
      </c>
      <c r="D26" s="5" t="s">
        <v>277</v>
      </c>
      <c r="E26" s="5" t="s">
        <v>279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208</v>
      </c>
      <c r="B27" s="8" t="s">
        <v>32</v>
      </c>
      <c r="C27" s="10" t="s">
        <v>163</v>
      </c>
      <c r="D27" s="12" t="s">
        <v>281</v>
      </c>
      <c r="E27" s="12" t="s">
        <v>282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208</v>
      </c>
      <c r="B28" s="4" t="s">
        <v>34</v>
      </c>
      <c r="C28" s="6" t="s">
        <v>39</v>
      </c>
      <c r="D28" s="5" t="s">
        <v>285</v>
      </c>
      <c r="E28" s="5" t="s">
        <v>286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208</v>
      </c>
      <c r="B29" s="8" t="s">
        <v>35</v>
      </c>
      <c r="C29" s="10" t="s">
        <v>39</v>
      </c>
      <c r="D29" s="12" t="s">
        <v>287</v>
      </c>
      <c r="E29" s="12" t="s">
        <v>288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208</v>
      </c>
      <c r="B30" s="4" t="s">
        <v>36</v>
      </c>
      <c r="C30" s="6" t="s">
        <v>39</v>
      </c>
      <c r="D30" s="5" t="s">
        <v>291</v>
      </c>
      <c r="E30" s="5" t="s">
        <v>292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208</v>
      </c>
      <c r="B31" s="8" t="s">
        <v>38</v>
      </c>
      <c r="C31" s="10" t="s">
        <v>39</v>
      </c>
      <c r="D31" s="12" t="s">
        <v>295</v>
      </c>
      <c r="E31" s="12" t="s">
        <v>297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208</v>
      </c>
      <c r="B32" s="4" t="s">
        <v>28</v>
      </c>
      <c r="C32" s="6" t="s">
        <v>39</v>
      </c>
      <c r="D32" s="5" t="s">
        <v>201</v>
      </c>
      <c r="E32" s="5" t="s">
        <v>302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309</v>
      </c>
      <c r="B33" s="8" t="s">
        <v>310</v>
      </c>
      <c r="C33" s="10" t="s">
        <v>39</v>
      </c>
      <c r="D33" s="12" t="s">
        <v>311</v>
      </c>
      <c r="E33" s="12" t="s">
        <v>312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309</v>
      </c>
      <c r="B34" s="4" t="s">
        <v>316</v>
      </c>
      <c r="C34" s="6" t="s">
        <v>39</v>
      </c>
      <c r="D34" s="5" t="s">
        <v>318</v>
      </c>
      <c r="E34" s="5" t="s">
        <v>319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 t="s">
        <v>309</v>
      </c>
      <c r="B35" s="12" t="s">
        <v>322</v>
      </c>
      <c r="C35" s="12" t="s">
        <v>39</v>
      </c>
      <c r="D35" s="12" t="s">
        <v>323</v>
      </c>
      <c r="E35" s="12" t="s">
        <v>325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309</v>
      </c>
      <c r="B36" s="5" t="s">
        <v>330</v>
      </c>
      <c r="C36" s="5" t="s">
        <v>39</v>
      </c>
      <c r="D36" s="5" t="s">
        <v>331</v>
      </c>
      <c r="E36" s="5" t="s">
        <v>332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 t="s">
        <v>309</v>
      </c>
      <c r="B37" s="12" t="s">
        <v>335</v>
      </c>
      <c r="C37" s="12" t="s">
        <v>39</v>
      </c>
      <c r="D37" s="12" t="s">
        <v>336</v>
      </c>
      <c r="E37" s="12" t="s">
        <v>337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309</v>
      </c>
      <c r="B38" s="5" t="s">
        <v>342</v>
      </c>
      <c r="C38" s="5" t="s">
        <v>39</v>
      </c>
      <c r="D38" s="5" t="s">
        <v>343</v>
      </c>
      <c r="E38" s="5" t="s">
        <v>344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309</v>
      </c>
      <c r="B39" s="12" t="s">
        <v>345</v>
      </c>
      <c r="C39" s="12" t="s">
        <v>346</v>
      </c>
      <c r="D39" s="12" t="s">
        <v>347</v>
      </c>
      <c r="E39" s="12" t="s">
        <v>348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309</v>
      </c>
      <c r="B40" s="5" t="s">
        <v>349</v>
      </c>
      <c r="C40" s="5" t="s">
        <v>39</v>
      </c>
      <c r="D40" s="5" t="s">
        <v>350</v>
      </c>
      <c r="E40" s="5" t="s">
        <v>351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309</v>
      </c>
      <c r="B41" s="12" t="s">
        <v>352</v>
      </c>
      <c r="C41" s="12" t="s">
        <v>39</v>
      </c>
      <c r="D41" s="12" t="s">
        <v>353</v>
      </c>
      <c r="E41" s="12" t="s">
        <v>354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309</v>
      </c>
      <c r="B42" s="5" t="s">
        <v>355</v>
      </c>
      <c r="C42" s="5" t="s">
        <v>346</v>
      </c>
      <c r="D42" s="5" t="s">
        <v>356</v>
      </c>
      <c r="E42" s="5" t="s">
        <v>357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309</v>
      </c>
      <c r="B43" s="12" t="s">
        <v>358</v>
      </c>
      <c r="C43" s="12" t="s">
        <v>359</v>
      </c>
      <c r="D43" s="12" t="s">
        <v>360</v>
      </c>
      <c r="E43" s="12" t="s">
        <v>361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309</v>
      </c>
      <c r="B44" s="5" t="s">
        <v>362</v>
      </c>
      <c r="C44" s="5" t="s">
        <v>163</v>
      </c>
      <c r="D44" s="5" t="s">
        <v>363</v>
      </c>
      <c r="E44" s="5" t="s">
        <v>364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309</v>
      </c>
      <c r="B45" s="12" t="s">
        <v>366</v>
      </c>
      <c r="C45" s="12" t="s">
        <v>39</v>
      </c>
      <c r="D45" s="12" t="s">
        <v>367</v>
      </c>
      <c r="E45" s="12" t="s">
        <v>369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autoFilter ref="$A$1:$E$3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3.75"/>
    <col customWidth="1" min="3" max="3" width="35.63"/>
    <col customWidth="1" min="4" max="4" width="87.13"/>
  </cols>
  <sheetData>
    <row r="1" ht="24.0" customHeight="1">
      <c r="A1" s="1" t="s">
        <v>25</v>
      </c>
      <c r="B1" s="1" t="s">
        <v>29</v>
      </c>
      <c r="C1" s="1" t="s">
        <v>30</v>
      </c>
      <c r="D1" s="1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44</v>
      </c>
      <c r="B2" s="9" t="s">
        <v>53</v>
      </c>
      <c r="C2" s="5" t="s">
        <v>54</v>
      </c>
      <c r="D2" s="5" t="s">
        <v>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58</v>
      </c>
      <c r="B3" s="13" t="s">
        <v>59</v>
      </c>
      <c r="C3" s="12" t="s">
        <v>60</v>
      </c>
      <c r="D3" s="12" t="s">
        <v>61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58</v>
      </c>
      <c r="B4" s="9" t="s">
        <v>65</v>
      </c>
      <c r="C4" s="5" t="s">
        <v>67</v>
      </c>
      <c r="D4" s="5" t="s">
        <v>69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70</v>
      </c>
      <c r="B5" s="13" t="s">
        <v>71</v>
      </c>
      <c r="C5" s="12" t="s">
        <v>72</v>
      </c>
      <c r="D5" s="12" t="s">
        <v>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70</v>
      </c>
      <c r="B6" s="9" t="s">
        <v>77</v>
      </c>
      <c r="C6" s="5" t="s">
        <v>79</v>
      </c>
      <c r="D6" s="5" t="s">
        <v>80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85</v>
      </c>
      <c r="B7" s="13" t="s">
        <v>86</v>
      </c>
      <c r="C7" s="12" t="s">
        <v>87</v>
      </c>
      <c r="D7" s="12" t="s">
        <v>89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85</v>
      </c>
      <c r="B8" s="9" t="s">
        <v>92</v>
      </c>
      <c r="C8" s="5" t="s">
        <v>94</v>
      </c>
      <c r="D8" s="5" t="s">
        <v>96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85</v>
      </c>
      <c r="B9" s="13" t="s">
        <v>104</v>
      </c>
      <c r="C9" s="12" t="s">
        <v>107</v>
      </c>
      <c r="D9" s="12" t="s">
        <v>109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85</v>
      </c>
      <c r="B10" s="9" t="s">
        <v>114</v>
      </c>
      <c r="C10" s="5" t="s">
        <v>115</v>
      </c>
      <c r="D10" s="5" t="s">
        <v>118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85</v>
      </c>
      <c r="B11" s="13" t="s">
        <v>126</v>
      </c>
      <c r="C11" s="12" t="s">
        <v>127</v>
      </c>
      <c r="D11" s="12" t="s">
        <v>130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85</v>
      </c>
      <c r="B12" s="9" t="s">
        <v>141</v>
      </c>
      <c r="C12" s="5" t="s">
        <v>143</v>
      </c>
      <c r="D12" s="5" t="s">
        <v>145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150</v>
      </c>
      <c r="B13" s="13" t="s">
        <v>83</v>
      </c>
      <c r="C13" s="12" t="s">
        <v>154</v>
      </c>
      <c r="D13" s="12" t="s">
        <v>155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150</v>
      </c>
      <c r="B14" s="9" t="s">
        <v>160</v>
      </c>
      <c r="C14" s="5" t="s">
        <v>161</v>
      </c>
      <c r="D14" s="5" t="s">
        <v>164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150</v>
      </c>
      <c r="B15" s="13" t="s">
        <v>168</v>
      </c>
      <c r="C15" s="12" t="s">
        <v>169</v>
      </c>
      <c r="D15" s="12" t="s">
        <v>170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174</v>
      </c>
      <c r="B16" s="9" t="s">
        <v>176</v>
      </c>
      <c r="C16" s="5" t="s">
        <v>177</v>
      </c>
      <c r="D16" s="5" t="s">
        <v>178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174</v>
      </c>
      <c r="B17" s="13" t="s">
        <v>190</v>
      </c>
      <c r="C17" s="12" t="s">
        <v>192</v>
      </c>
      <c r="D17" s="12" t="s">
        <v>193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197</v>
      </c>
      <c r="B18" s="9" t="s">
        <v>198</v>
      </c>
      <c r="C18" s="5" t="s">
        <v>199</v>
      </c>
      <c r="D18" s="5" t="s">
        <v>200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204</v>
      </c>
      <c r="B19" s="13" t="s">
        <v>205</v>
      </c>
      <c r="C19" s="12" t="s">
        <v>206</v>
      </c>
      <c r="D19" s="12" t="s">
        <v>207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213</v>
      </c>
      <c r="B20" s="9" t="s">
        <v>215</v>
      </c>
      <c r="C20" s="5" t="s">
        <v>218</v>
      </c>
      <c r="D20" s="5" t="s">
        <v>220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213</v>
      </c>
      <c r="B21" s="13" t="s">
        <v>222</v>
      </c>
      <c r="C21" s="12" t="s">
        <v>223</v>
      </c>
      <c r="D21" s="12" t="s">
        <v>224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229</v>
      </c>
      <c r="B22" s="9" t="s">
        <v>230</v>
      </c>
      <c r="C22" s="5" t="s">
        <v>231</v>
      </c>
      <c r="D22" s="5" t="s">
        <v>232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240</v>
      </c>
      <c r="B23" s="13" t="s">
        <v>242</v>
      </c>
      <c r="C23" s="12" t="s">
        <v>243</v>
      </c>
      <c r="D23" s="12" t="s">
        <v>244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245</v>
      </c>
      <c r="B24" s="9" t="s">
        <v>246</v>
      </c>
      <c r="C24" s="5" t="s">
        <v>247</v>
      </c>
      <c r="D24" s="5" t="s">
        <v>249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255</v>
      </c>
      <c r="B25" s="13" t="s">
        <v>256</v>
      </c>
      <c r="C25" s="12" t="s">
        <v>258</v>
      </c>
      <c r="D25" s="12" t="s">
        <v>260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autoFilter ref="$A$1:$D$2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9.0"/>
    <col customWidth="1" min="3" max="3" width="38.0"/>
    <col customWidth="1" min="4" max="4" width="54.63"/>
    <col customWidth="1" min="5" max="5" width="62.88"/>
    <col customWidth="1" min="6" max="6" width="13.0"/>
    <col customWidth="1" min="7" max="7" width="10.75"/>
  </cols>
  <sheetData>
    <row r="1">
      <c r="A1" s="24" t="s">
        <v>605</v>
      </c>
      <c r="B1" s="24" t="s">
        <v>606</v>
      </c>
      <c r="C1" s="24" t="s">
        <v>607</v>
      </c>
      <c r="D1" s="24" t="s">
        <v>608</v>
      </c>
      <c r="E1" s="24" t="s">
        <v>609</v>
      </c>
      <c r="F1" s="24" t="s">
        <v>610</v>
      </c>
      <c r="G1" s="24" t="s">
        <v>611</v>
      </c>
    </row>
    <row r="2">
      <c r="A2" s="25" t="s">
        <v>612</v>
      </c>
      <c r="B2" s="25" t="s">
        <v>613</v>
      </c>
      <c r="C2" s="25" t="s">
        <v>614</v>
      </c>
      <c r="D2" s="25" t="s">
        <v>615</v>
      </c>
      <c r="E2" s="25" t="s">
        <v>616</v>
      </c>
      <c r="F2" s="26">
        <f>SUMPRODUCT(ISNA(MATCH(Notifications!B2:B31, Deadlines!A2:A25, 0)))</f>
        <v>0</v>
      </c>
      <c r="G2" s="27" t="str">
        <f t="shared" ref="G2:G11" si="1">IF(F2=0, "PASS", "FAIL")</f>
        <v>PASS</v>
      </c>
    </row>
    <row r="3">
      <c r="A3" s="25" t="s">
        <v>617</v>
      </c>
      <c r="B3" s="25" t="s">
        <v>618</v>
      </c>
      <c r="C3" s="25" t="s">
        <v>619</v>
      </c>
      <c r="D3" s="25" t="s">
        <v>620</v>
      </c>
      <c r="E3" s="25" t="s">
        <v>621</v>
      </c>
      <c r="F3" s="26">
        <f>IFERROR(__xludf.DUMMYFUNCTION("COUNTA(Notifications!L2:L31)-COUNTUNIQUE(Notifications!L2:L31)"),0.0)</f>
        <v>0</v>
      </c>
      <c r="G3" s="27" t="str">
        <f t="shared" si="1"/>
        <v>PASS</v>
      </c>
    </row>
    <row r="4">
      <c r="A4" s="25" t="s">
        <v>622</v>
      </c>
      <c r="B4" s="25" t="s">
        <v>623</v>
      </c>
      <c r="C4" s="25" t="s">
        <v>624</v>
      </c>
      <c r="D4" s="25" t="s">
        <v>625</v>
      </c>
      <c r="E4" s="25" t="s">
        <v>626</v>
      </c>
      <c r="F4" s="26">
        <f>IFERROR(__xludf.DUMMYFUNCTION("COUNTA(Deadlines!A2:A25)-COUNTUNIQUE(Deadlines!A2:A25)"),0.0)</f>
        <v>0</v>
      </c>
      <c r="G4" s="27" t="str">
        <f t="shared" si="1"/>
        <v>PASS</v>
      </c>
    </row>
    <row r="5">
      <c r="A5" s="25" t="s">
        <v>627</v>
      </c>
      <c r="B5" s="25" t="s">
        <v>628</v>
      </c>
      <c r="C5" s="25" t="s">
        <v>629</v>
      </c>
      <c r="D5" s="25" t="s">
        <v>630</v>
      </c>
      <c r="E5" s="25" t="s">
        <v>631</v>
      </c>
      <c r="F5" s="26">
        <f>SUMPRODUCT(((Deadlines!J2:J25="COMPLETED")+(Deadlines!J2:J25="CANCELLED"))*(ISBLANK(Deadlines!L2:L25)+(Deadlines!L2:L25="")))</f>
        <v>0</v>
      </c>
      <c r="G5" s="27" t="str">
        <f t="shared" si="1"/>
        <v>PASS</v>
      </c>
    </row>
    <row r="6">
      <c r="A6" s="25" t="s">
        <v>632</v>
      </c>
      <c r="B6" s="25" t="s">
        <v>628</v>
      </c>
      <c r="C6" s="25" t="s">
        <v>633</v>
      </c>
      <c r="D6" s="25" t="s">
        <v>630</v>
      </c>
      <c r="E6" s="25" t="s">
        <v>634</v>
      </c>
      <c r="F6" s="26">
        <f>SUMPRODUCT(((Deadlines!J2:J25="UPCOMING")+(Deadlines!J2:J25="DUE")+(Deadlines!J2:J25="OVERDUE")+(Deadlines!J2:J25="ESCALATED"))*(NOT(ISBLANK(Deadlines!L2:L25))*(Deadlines!L2:L25&lt;&gt;"")))</f>
        <v>0</v>
      </c>
      <c r="G6" s="27" t="str">
        <f t="shared" si="1"/>
        <v>PASS</v>
      </c>
    </row>
    <row r="7">
      <c r="A7" s="25" t="s">
        <v>635</v>
      </c>
      <c r="B7" s="25" t="s">
        <v>636</v>
      </c>
      <c r="C7" s="25" t="s">
        <v>637</v>
      </c>
      <c r="D7" s="25" t="s">
        <v>638</v>
      </c>
      <c r="E7" s="25" t="s">
        <v>639</v>
      </c>
      <c r="F7" s="26">
        <f>SUMPRODUCT((Deadlines!J2:J25="OVERDUE")*(Deadlines!I2:I25&gt;=DATE(2026,10,25)))</f>
        <v>0</v>
      </c>
      <c r="G7" s="27" t="str">
        <f t="shared" si="1"/>
        <v>PASS</v>
      </c>
    </row>
    <row r="8">
      <c r="A8" s="25" t="s">
        <v>640</v>
      </c>
      <c r="B8" s="25" t="s">
        <v>636</v>
      </c>
      <c r="C8" s="25" t="s">
        <v>641</v>
      </c>
      <c r="D8" s="25" t="s">
        <v>638</v>
      </c>
      <c r="E8" s="25" t="s">
        <v>642</v>
      </c>
      <c r="F8" s="26">
        <f>SUMPRODUCT((Deadlines!J2:J25="UPCOMING")*(Deadlines!I2:I25&lt;DATE(2026,10,25)))</f>
        <v>0</v>
      </c>
      <c r="G8" s="27" t="str">
        <f t="shared" si="1"/>
        <v>PASS</v>
      </c>
    </row>
    <row r="9">
      <c r="A9" s="25" t="s">
        <v>643</v>
      </c>
      <c r="B9" s="25" t="s">
        <v>644</v>
      </c>
      <c r="C9" s="25" t="s">
        <v>645</v>
      </c>
      <c r="D9" s="25" t="s">
        <v>646</v>
      </c>
      <c r="E9" s="25" t="s">
        <v>647</v>
      </c>
      <c r="F9" s="26">
        <f>SUMPRODUCT((Notifications!I2:I31="READ")*(ISBLANK(Notifications!J2:J31)+(Notifications!J2:J31="")))</f>
        <v>0</v>
      </c>
      <c r="G9" s="27" t="str">
        <f t="shared" si="1"/>
        <v>PASS</v>
      </c>
    </row>
    <row r="10">
      <c r="A10" s="25" t="s">
        <v>648</v>
      </c>
      <c r="B10" s="25" t="s">
        <v>644</v>
      </c>
      <c r="C10" s="25" t="s">
        <v>649</v>
      </c>
      <c r="D10" s="25" t="s">
        <v>646</v>
      </c>
      <c r="E10" s="25" t="s">
        <v>650</v>
      </c>
      <c r="F10" s="26">
        <f>SUMPRODUCT((Notifications!I2:I31="UNREAD")*(NOT(ISBLANK(Notifications!J2:J31))*(Notifications!J2:J31&lt;&gt;"")))</f>
        <v>0</v>
      </c>
      <c r="G10" s="27" t="str">
        <f t="shared" si="1"/>
        <v>PASS</v>
      </c>
    </row>
    <row r="11">
      <c r="A11" s="25" t="s">
        <v>651</v>
      </c>
      <c r="B11" s="25" t="s">
        <v>613</v>
      </c>
      <c r="C11" s="25" t="s">
        <v>652</v>
      </c>
      <c r="D11" s="25" t="s">
        <v>653</v>
      </c>
      <c r="E11" s="25" t="s">
        <v>654</v>
      </c>
      <c r="F11" s="26">
        <f>SUMPRODUCT(ISNA(MATCH(Notifications!C2:C31, Deadlines!D2:D25, 0)))</f>
        <v>0</v>
      </c>
      <c r="G11" s="27" t="str">
        <f t="shared" si="1"/>
        <v>PASS</v>
      </c>
    </row>
    <row r="13">
      <c r="A13" s="28" t="s">
        <v>655</v>
      </c>
      <c r="B13" s="28" t="s">
        <v>656</v>
      </c>
      <c r="C13" s="28" t="s">
        <v>657</v>
      </c>
      <c r="D13" s="28" t="s">
        <v>658</v>
      </c>
    </row>
    <row r="14">
      <c r="A14" s="29" t="s">
        <v>659</v>
      </c>
      <c r="B14" s="30">
        <f>COUNTA(A2:A11)</f>
        <v>10</v>
      </c>
      <c r="C14" s="29" t="str">
        <f>B14&amp;" Checks Active"</f>
        <v>10 Checks Active</v>
      </c>
      <c r="D14" s="29" t="s">
        <v>660</v>
      </c>
    </row>
    <row r="15">
      <c r="A15" s="29" t="s">
        <v>661</v>
      </c>
      <c r="B15" s="31">
        <f>SUM(F2:F11)</f>
        <v>0</v>
      </c>
      <c r="C15" s="30" t="str">
        <f>IF(B15=0, "0 Anomalies (Clean)", B15&amp;" Anomalies Flagged")</f>
        <v>0 Anomalies (Clean)</v>
      </c>
      <c r="D15" s="29" t="s">
        <v>662</v>
      </c>
    </row>
    <row r="16">
      <c r="A16" s="29" t="s">
        <v>663</v>
      </c>
      <c r="B16" s="30">
        <f>COUNTA(Deadlines!A2:A25)</f>
        <v>24</v>
      </c>
      <c r="C16" s="29" t="s">
        <v>664</v>
      </c>
      <c r="D16" s="29" t="s">
        <v>665</v>
      </c>
    </row>
    <row r="17">
      <c r="A17" s="29" t="s">
        <v>666</v>
      </c>
      <c r="B17" s="30">
        <f>COUNTA(Notifications!A2:A31)</f>
        <v>30</v>
      </c>
      <c r="C17" s="29" t="s">
        <v>667</v>
      </c>
      <c r="D17" s="29" t="s">
        <v>668</v>
      </c>
    </row>
    <row r="18">
      <c r="A18" s="29" t="s">
        <v>669</v>
      </c>
      <c r="B18" s="32">
        <f>IF(B14=0, 0, (COUNTIF(G2:G11, "PASS")/B14))</f>
        <v>1</v>
      </c>
      <c r="C18" s="29" t="s">
        <v>670</v>
      </c>
      <c r="D18" s="29" t="s">
        <v>671</v>
      </c>
    </row>
    <row r="19">
      <c r="A19" s="29" t="s">
        <v>672</v>
      </c>
      <c r="B19" s="33">
        <v>46320.0</v>
      </c>
      <c r="C19" s="29" t="s">
        <v>673</v>
      </c>
      <c r="D19" s="29" t="s">
        <v>674</v>
      </c>
    </row>
  </sheetData>
  <drawing r:id="rId1"/>
  <tableParts count="1">
    <tablePart r:id="rId3"/>
  </tableParts>
</worksheet>
</file>