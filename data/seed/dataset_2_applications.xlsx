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Data_Dictionary" sheetId="2" r:id="rId6"/>
    <sheet state="visible" name="Balance_Summary" sheetId="3" r:id="rId7"/>
    <sheet state="visible" name="Validation_Report" sheetId="4" r:id="rId8"/>
  </sheets>
  <definedNames>
    <definedName hidden="1" localSheetId="0" name="_xlnm._FilterDatabase">Applications!$A$1:$O$26</definedName>
    <definedName hidden="1" localSheetId="1" name="_xlnm._FilterDatabase">Data_Dictionary!$A$1:$B$16</definedName>
  </definedNames>
  <calcPr/>
</workbook>
</file>

<file path=xl/sharedStrings.xml><?xml version="1.0" encoding="utf-8"?>
<sst xmlns="http://schemas.openxmlformats.org/spreadsheetml/2006/main" count="555" uniqueCount="304">
  <si>
    <t>application_id</t>
  </si>
  <si>
    <t>institution_id</t>
  </si>
  <si>
    <t>application_type</t>
  </si>
  <si>
    <t>current_stage</t>
  </si>
  <si>
    <t>application_status</t>
  </si>
  <si>
    <t>submitted_date</t>
  </si>
  <si>
    <t>stage_entered_date</t>
  </si>
  <si>
    <t>due_date</t>
  </si>
  <si>
    <t>assigned_role</t>
  </si>
  <si>
    <t>deficiency_flag</t>
  </si>
  <si>
    <t>last_updated</t>
  </si>
  <si>
    <t>data_type</t>
  </si>
  <si>
    <t>deadline_condition</t>
  </si>
  <si>
    <t>reference_date</t>
  </si>
  <si>
    <t>demo_notes</t>
  </si>
  <si>
    <t>APP001</t>
  </si>
  <si>
    <t>INST001</t>
  </si>
  <si>
    <t>Extension of Approval</t>
  </si>
  <si>
    <t>DRAFT</t>
  </si>
  <si>
    <t>Institution Admin</t>
  </si>
  <si>
    <t>No</t>
  </si>
  <si>
    <t>SYNTHETIC_DEMO</t>
  </si>
  <si>
    <t>NO_ACTIVE_DEADLINE</t>
  </si>
  <si>
    <t>Fictional record; initial draft saved prior to formal submission.</t>
  </si>
  <si>
    <t>APP002</t>
  </si>
  <si>
    <t>INST002</t>
  </si>
  <si>
    <t>New Programme</t>
  </si>
  <si>
    <t>SUBMITTED</t>
  </si>
  <si>
    <t>IN_PROGRESS</t>
  </si>
  <si>
    <t>Intake Officer</t>
  </si>
  <si>
    <t>ON_TRACK</t>
  </si>
  <si>
    <t>Fictional record; submitted and awaiting initial intake review.</t>
  </si>
  <si>
    <t>APP003</t>
  </si>
  <si>
    <t>INST003</t>
  </si>
  <si>
    <t>Increase in Intake</t>
  </si>
  <si>
    <t>INITIAL_VALIDATION</t>
  </si>
  <si>
    <t>Validation Officer</t>
  </si>
  <si>
    <t>UPCOMING</t>
  </si>
  <si>
    <t>Fictional record; initial fee and document validation underway.</t>
  </si>
  <si>
    <t>APP004</t>
  </si>
  <si>
    <t>INST004</t>
  </si>
  <si>
    <t>INITIAL_SCRUTINY</t>
  </si>
  <si>
    <t>Scrutiny Officer</t>
  </si>
  <si>
    <t>Fictional record; technical scrutiny in progress on track.</t>
  </si>
  <si>
    <t>APP005</t>
  </si>
  <si>
    <t>INST005</t>
  </si>
  <si>
    <t>OVERDUE</t>
  </si>
  <si>
    <t>Fictional record; initial scrutiny past internal target date.</t>
  </si>
  <si>
    <t>APP006</t>
  </si>
  <si>
    <t>INST006</t>
  </si>
  <si>
    <t>DEFICIENCY_RAISED</t>
  </si>
  <si>
    <t>ACTION_REQUIRED</t>
  </si>
  <si>
    <t>Yes</t>
  </si>
  <si>
    <t>Fictional record; deficiency notice sent, response window active.</t>
  </si>
  <si>
    <t>APP007</t>
  </si>
  <si>
    <t>INST007</t>
  </si>
  <si>
    <t>Fictional record; institution compliance response overdue.</t>
  </si>
  <si>
    <t>APP008</t>
  </si>
  <si>
    <t>INST008</t>
  </si>
  <si>
    <t>Fictional record; pending compliance submission on track.</t>
  </si>
  <si>
    <t>APP009</t>
  </si>
  <si>
    <t>INST009</t>
  </si>
  <si>
    <t>DUE_TODAY</t>
  </si>
  <si>
    <t>Fictional record; final day for deficiency response submission.</t>
  </si>
  <si>
    <t>APP010</t>
  </si>
  <si>
    <t>INST010</t>
  </si>
  <si>
    <t>RE_SCRUTINY</t>
  </si>
  <si>
    <t>Fictional record; evaluating compliance documents submitted after deficiency.</t>
  </si>
  <si>
    <t>APP011</t>
  </si>
  <si>
    <t>INST011</t>
  </si>
  <si>
    <t>Fictional record; re-scrutiny review exceeded designated timeline.</t>
  </si>
  <si>
    <t>APP012</t>
  </si>
  <si>
    <t>INST012</t>
  </si>
  <si>
    <t>Fictional record; second-level scrutiny progressing normally.</t>
  </si>
  <si>
    <t>APP013</t>
  </si>
  <si>
    <t>INST013</t>
  </si>
  <si>
    <t>EVC_PENDING</t>
  </si>
  <si>
    <t>EVC Coordinator</t>
  </si>
  <si>
    <t>Fictional record; expert visit committee roster assignment pending.</t>
  </si>
  <si>
    <t>APP014</t>
  </si>
  <si>
    <t>INST014</t>
  </si>
  <si>
    <t>EVC_SCHEDULED</t>
  </si>
  <si>
    <t>Fictional record; virtual/physical visit scheduled for campus review.</t>
  </si>
  <si>
    <t>APP015</t>
  </si>
  <si>
    <t>INST015</t>
  </si>
  <si>
    <t>Fictional record; expert visit delayed beyond deadline window.</t>
  </si>
  <si>
    <t>APP016</t>
  </si>
  <si>
    <t>EVC_COMPLETED</t>
  </si>
  <si>
    <t>Fictional record; inspection report submitted, awaiting committee placement.</t>
  </si>
  <si>
    <t>APP017</t>
  </si>
  <si>
    <t>COMMITTEE_REVIEW</t>
  </si>
  <si>
    <t>Committee Secretariat</t>
  </si>
  <si>
    <t>Fictional record; placed on Regional Committee agenda for review.</t>
  </si>
  <si>
    <t>APP018</t>
  </si>
  <si>
    <t>Fictional record; committee minutes pending past scheduled completion.</t>
  </si>
  <si>
    <t>APP019</t>
  </si>
  <si>
    <t>DECISION_PENDING</t>
  </si>
  <si>
    <t>Competent Authority Secretariat</t>
  </si>
  <si>
    <t>Fictional record; final competent authority approval signoff overdue.</t>
  </si>
  <si>
    <t>APP020</t>
  </si>
  <si>
    <t>Fictional record; final executive signoff scheduled within timeline.</t>
  </si>
  <si>
    <t>APP021</t>
  </si>
  <si>
    <t>COMPLETED</t>
  </si>
  <si>
    <t>Records Officer</t>
  </si>
  <si>
    <t>Fictional record; approval letter issued and archived.</t>
  </si>
  <si>
    <t>APP022</t>
  </si>
  <si>
    <t>Fictional record; formal approval granted with full intake quota.</t>
  </si>
  <si>
    <t>APP023</t>
  </si>
  <si>
    <t>Fictional record; increase approved after verification of infrastructure.</t>
  </si>
  <si>
    <t>APP024</t>
  </si>
  <si>
    <t>REJECTED</t>
  </si>
  <si>
    <t>Appellate Authority</t>
  </si>
  <si>
    <t>Fictional record; rejected due to unrectified land/infrastructure non-compliance.</t>
  </si>
  <si>
    <t>APP025</t>
  </si>
  <si>
    <t>Fictional record; formally rejected after standing hearing committee review.</t>
  </si>
  <si>
    <t>column_name</t>
  </si>
  <si>
    <t>meaning</t>
  </si>
  <si>
    <t>required</t>
  </si>
  <si>
    <t>allowed_values_or_format</t>
  </si>
  <si>
    <t>validation_rule</t>
  </si>
  <si>
    <t>String</t>
  </si>
  <si>
    <t>Unique primary key identifier for each regulatory application</t>
  </si>
  <si>
    <t>APP001 - APP025 (Format: APP###)</t>
  </si>
  <si>
    <t>Must be unique, non-blank, and strictly match regex ^APP[0-9]{3}$</t>
  </si>
  <si>
    <t>Foreign key referencing verified higher education institution from Dataset 1</t>
  </si>
  <si>
    <t>INST001 - INST015 (Format: INST###)</t>
  </si>
  <si>
    <t>Must exist in Dataset 1 master institution registry (INST001 to INST015)</t>
  </si>
  <si>
    <t>Statutory AICTE approval category sought by the institution</t>
  </si>
  <si>
    <t>Extension of Approval, New Programme, Increase in Intake</t>
  </si>
  <si>
    <t>Must match one of the 3 statutory approval categories exactly</t>
  </si>
  <si>
    <t>Granular regulatory processing stage within AICTE approval workflow</t>
  </si>
  <si>
    <t>DRAFT, SUBMITTED, INITIAL_VALIDATION, INITIAL_SCRUTINY, DEFICIENCY_RAISED, RE_SCRUTINY, EVC_PENDING, EVC_SCHEDULED, EVC_COMPLETED, COMMITTEE_REVIEW, DECISION_PENDING, COMPLETED, REJECTED</t>
  </si>
  <si>
    <t>Must follow sequential lifecycle progression and map to valid assigned role</t>
  </si>
  <si>
    <t>High-level operational governance and lifecycle tracking status</t>
  </si>
  <si>
    <t>DRAFT, IN_PROGRESS, ACTION_REQUIRED, COMPLETED, REJECTED</t>
  </si>
  <si>
    <t>Must strictly align with current_stage (e.g. DEFICIENCY_RAISED requires ACTION_REQUIRED)</t>
  </si>
  <si>
    <t>Date</t>
  </si>
  <si>
    <t>Official portal submission timestamp by institution</t>
  </si>
  <si>
    <t>Conditional</t>
  </si>
  <si>
    <t>ISO 8601 Date (YYYY-MM-DD); blank for unsubmitted DRAFT</t>
  </si>
  <si>
    <t>Required if current_stage != DRAFT; must be &lt;= stage_entered_date</t>
  </si>
  <si>
    <t>Date when the application transitioned into its current operational stage</t>
  </si>
  <si>
    <t>ISO 8601 Date (YYYY-MM-DD)</t>
  </si>
  <si>
    <t>Must be &gt;= submitted_date and &lt;= last_updated</t>
  </si>
  <si>
    <t>Statutory SLA target completion deadline for current stage</t>
  </si>
  <si>
    <t>ISO 8601 Date (YYYY-MM-DD); blank if no active deadline</t>
  </si>
  <si>
    <t>Required when stage has active SLA; must be &gt;= stage_entered_date</t>
  </si>
  <si>
    <t>Organizational role currently responsible for actioning the record</t>
  </si>
  <si>
    <t>Institution Admin, Intake Officer, Validation Officer, Scrutiny Officer, EVC Coordinator, Committee Secretariat, Competent Authority Secretariat, Records Officer, Appellate Authority</t>
  </si>
  <si>
    <t>Must match statutory role authorized for the current stage</t>
  </si>
  <si>
    <t>Flag indicating active regulatory non-compliance / deficiency notice</t>
  </si>
  <si>
    <t>Yes, No</t>
  </si>
  <si>
    <t>Must be 'Yes' if and only if current_stage is DEFICIENCY_RAISED; otherwise 'No'</t>
  </si>
  <si>
    <t>Timestamp of most recent record update or stage progression</t>
  </si>
  <si>
    <t>Must be &gt;= stage_entered_date and &lt;= reference_date (2026-10-25)</t>
  </si>
  <si>
    <t>Data provenance classification distinguishing synthetic demo from live records</t>
  </si>
  <si>
    <t>Synthetic parameter: must be 'SYNTHETIC_DEMO' across all test prototype records</t>
  </si>
  <si>
    <t>Calculated SLA compliance condition relative to benchmark reference date</t>
  </si>
  <si>
    <t>ON_TRACK, UPCOMING, OVERDUE, DUE_TODAY, COMPLETED, NO_ACTIVE_DEADLINE</t>
  </si>
  <si>
    <t>Evaluated dynamically: OVERDUE if due_date &lt; reference_date, DUE_TODAY if ==, UPCOMING if within 3 days</t>
  </si>
  <si>
    <t>Fixed baseline evaluation date for consistent prototype demonstration</t>
  </si>
  <si>
    <t>ISO 8601 Date (YYYY-MM-DD); fixed at 2026-10-25</t>
  </si>
  <si>
    <t>Synthetic benchmark parameter: constant 2026-10-25 across all records</t>
  </si>
  <si>
    <t>Synthetic test scenario description explaining operational edge cases</t>
  </si>
  <si>
    <t>Descriptive text string</t>
  </si>
  <si>
    <t>Must explain simulated workflow context and regulatory test state</t>
  </si>
  <si>
    <t>WORKFLOW RULES &amp; SYNTHETIC PARAMETERS</t>
  </si>
  <si>
    <t>Category</t>
  </si>
  <si>
    <t>Governance Scope</t>
  </si>
  <si>
    <t>Enforcement</t>
  </si>
  <si>
    <t>Regulatory / Simulation Standard</t>
  </si>
  <si>
    <t>Distinction &amp; Specification</t>
  </si>
  <si>
    <t>WORKFLOW_RULE_1</t>
  </si>
  <si>
    <t>Rule / Temporal</t>
  </si>
  <si>
    <t>Chronological progression validation sequence</t>
  </si>
  <si>
    <t>Enforced</t>
  </si>
  <si>
    <t>submitted_date &lt;= stage_entered_date &lt;= last_updated &lt;= 2026-10-25</t>
  </si>
  <si>
    <t>Statutory Standard: Enforces temporal ordering to prevent retroactive logging or premature updates.</t>
  </si>
  <si>
    <t>WORKFLOW_RULE_2</t>
  </si>
  <si>
    <t>Rule / Governance</t>
  </si>
  <si>
    <t>Deficiency escalation and institution compliance action</t>
  </si>
  <si>
    <t>DEFICIENCY_RAISED -&gt; ACTION_REQUIRED -&gt; Institution Admin</t>
  </si>
  <si>
    <t>Statutory Standard: Identifies institutional non-compliance, setting deficiency_flag = Yes and SLA due_date.</t>
  </si>
  <si>
    <t>WORKFLOW_RULE_3</t>
  </si>
  <si>
    <t>Rule / Technical</t>
  </si>
  <si>
    <t>Re-scrutiny and Expert Visit Committee (EVC) verification</t>
  </si>
  <si>
    <t>RE_SCRUTINY -&gt; EVC_PENDING -&gt; EVC_SCHEDULED -&gt; EVC_COMPLETED</t>
  </si>
  <si>
    <t>Statutory Standard: Post-deficiency submissions trigger expert re-scrutiny and physical/virtual campus inspection.</t>
  </si>
  <si>
    <t>WORKFLOW_RULE_4</t>
  </si>
  <si>
    <t>Rule / Executive</t>
  </si>
  <si>
    <t>Regional Committee and Competent Authority approval signoff</t>
  </si>
  <si>
    <t>COMMITTEE_REVIEW -&gt; DECISION_PENDING -&gt; COMPLETED</t>
  </si>
  <si>
    <t>Statutory Standard: Committee evaluation precedes final Competent Authority executive signoff and approval order.</t>
  </si>
  <si>
    <t>WORKFLOW_RULE_5</t>
  </si>
  <si>
    <t>Rule / Appellate</t>
  </si>
  <si>
    <t>Formal Rejection and appellate routing protocol</t>
  </si>
  <si>
    <t>REJECTED -&gt; Appellate Authority -&gt; NO_ACTIVE_DEADLINE</t>
  </si>
  <si>
    <t>Statutory Standard: Persistent non-compliance terminates active processing and unlocks the appellate filing window.</t>
  </si>
  <si>
    <t>SYNTHETIC_PARAM_1</t>
  </si>
  <si>
    <t>Parameter / Anchor</t>
  </si>
  <si>
    <t>Fixed prototype evaluation benchmark date</t>
  </si>
  <si>
    <t>Fixed Demo Value</t>
  </si>
  <si>
    <t>reference_date = 2026-10-25</t>
  </si>
  <si>
    <t>Synthetic Demo Parameter: Fixed reference point ensuring deterministic and reproducible SLA calculations during evaluation.</t>
  </si>
  <si>
    <t>SYNTHETIC_PARAM_2</t>
  </si>
  <si>
    <t>Parameter / Provenance</t>
  </si>
  <si>
    <t>Synthetic demonstration provenance tag</t>
  </si>
  <si>
    <t>data_type = SYNTHETIC_DEMO</t>
  </si>
  <si>
    <t>Synthetic Demo Parameter: Explicit data isolation flag guaranteeing demo records never blend into live production tables.</t>
  </si>
  <si>
    <t>SYNTHETIC_PARAM_3</t>
  </si>
  <si>
    <t>Parameter / Distribution</t>
  </si>
  <si>
    <t>Simulated deadline condition distribution for UI testing</t>
  </si>
  <si>
    <t>Calibrated Quota</t>
  </si>
  <si>
    <t>ON_TRACK (6), UPCOMING (6), OVERDUE (6), DUE_TODAY (1), COMPLETED (3), NO_ACTIVE (3)</t>
  </si>
  <si>
    <t>Synthetic Demo Parameter: Multi-state distribution engineered to validate dashboard alerting filters across all SLA scenarios.</t>
  </si>
  <si>
    <t>EXECUTIVE BALANCE SUMMARY &amp; WORKFLOW KPI DASHBOARD</t>
  </si>
  <si>
    <t>Total Applications</t>
  </si>
  <si>
    <t>In Progress</t>
  </si>
  <si>
    <t>Action Required</t>
  </si>
  <si>
    <t>Completed</t>
  </si>
  <si>
    <t>Formally Rejected</t>
  </si>
  <si>
    <t>Overdue Alerts</t>
  </si>
  <si>
    <t>Target: 25 Records</t>
  </si>
  <si>
    <t>Active Pipeline Stages</t>
  </si>
  <si>
    <t>Deficiency Pending</t>
  </si>
  <si>
    <t>Approvals Issued</t>
  </si>
  <si>
    <t>Appellate Window</t>
  </si>
  <si>
    <t>Urgent SLA Alerts</t>
  </si>
  <si>
    <t>Workflow Stage</t>
  </si>
  <si>
    <t>Record Count</t>
  </si>
  <si>
    <t>Application Status</t>
  </si>
  <si>
    <t>Count</t>
  </si>
  <si>
    <t>Share %</t>
  </si>
  <si>
    <t>Application Type</t>
  </si>
  <si>
    <t>Institution ID</t>
  </si>
  <si>
    <t>Applications</t>
  </si>
  <si>
    <t>Coverage Status</t>
  </si>
  <si>
    <t>Total Type Records</t>
  </si>
  <si>
    <t>Total Status Records</t>
  </si>
  <si>
    <t>Status vs Deficiency</t>
  </si>
  <si>
    <t>Deficiency = Yes</t>
  </si>
  <si>
    <t>Deficiency = No</t>
  </si>
  <si>
    <t>Deadline Condition</t>
  </si>
  <si>
    <t>Total Cross-Tab</t>
  </si>
  <si>
    <t>Total Stage Records</t>
  </si>
  <si>
    <t>Total Deadline Records</t>
  </si>
  <si>
    <t>Total All Inst.</t>
  </si>
  <si>
    <t>SYNTHETIC APPLICATIONS DATASET INTEGRITY &amp; AUDIT REPORT</t>
  </si>
  <si>
    <t>Audit ID</t>
  </si>
  <si>
    <t>Integrity Check Description</t>
  </si>
  <si>
    <t>Discrepancies Found</t>
  </si>
  <si>
    <t>Validation Status</t>
  </si>
  <si>
    <t>Audit Logic &amp; Verification Formula</t>
  </si>
  <si>
    <t>CHK001</t>
  </si>
  <si>
    <t>Missing or Blank Application IDs</t>
  </si>
  <si>
    <t>Checks that all 25 application records maintain populated primary keys.</t>
  </si>
  <si>
    <t>CHK002</t>
  </si>
  <si>
    <t>Duplicate Application IDs</t>
  </si>
  <si>
    <t>Verifies uniqueness: ensures exactly 25 distinct application records.</t>
  </si>
  <si>
    <t>CHK003</t>
  </si>
  <si>
    <t>Invalid Institution References (Foreign Key)</t>
  </si>
  <si>
    <t>Confirms all foreign keys strictly conform to INST001–INST015 without blanks.</t>
  </si>
  <si>
    <t>CHK004</t>
  </si>
  <si>
    <t>Unsupported Application Type Categories</t>
  </si>
  <si>
    <t>Enforces that every record matches one of the 3 statutory approval types.</t>
  </si>
  <si>
    <t>CHK005</t>
  </si>
  <si>
    <t>Unauthorized Workflow Stage Values</t>
  </si>
  <si>
    <t>Validates that all stages belong to the 13 authorized lifecycle stages.</t>
  </si>
  <si>
    <t>CHK006</t>
  </si>
  <si>
    <t>Unsupported Application Status Values</t>
  </si>
  <si>
    <t>Ensures status values conform strictly to permitted operational taxonomy.</t>
  </si>
  <si>
    <t>CHK007</t>
  </si>
  <si>
    <t>Stage and Status Mapping Inconsistency</t>
  </si>
  <si>
    <t>Guarantees terminal, draft, and deficiency stages strictly mirror expected status.</t>
  </si>
  <si>
    <t>CHK008</t>
  </si>
  <si>
    <t>Deficiency Flag Mismatch with Stage</t>
  </si>
  <si>
    <t>Guarantees bi-directional consistency between deficiency stage and flag.</t>
  </si>
  <si>
    <t>CHK009</t>
  </si>
  <si>
    <t>Date Chronology Inversion (Stage Entered &lt; Submitted)</t>
  </si>
  <si>
    <t>Enforces that stage entered date cannot precede formal submission date.</t>
  </si>
  <si>
    <t>CHK010</t>
  </si>
  <si>
    <t>Inverted Update Timestamp (Last Updated &lt; Stage Entered)</t>
  </si>
  <si>
    <t>Confirms last updated date is on or after the stage entered date.</t>
  </si>
  <si>
    <t>CHK011</t>
  </si>
  <si>
    <t>Future Last Updated Dates (&gt; Reference Date 2026-10-25)</t>
  </si>
  <si>
    <t>Confirms no timestamp exceeds benchmark reference date 2026-10-25.</t>
  </si>
  <si>
    <t>CHK012</t>
  </si>
  <si>
    <t>Overdue Deadline Classification Consistency</t>
  </si>
  <si>
    <t>Verifies that OVERDUE records have SLA target dates strictly prior to reference date.</t>
  </si>
  <si>
    <t>CHK013</t>
  </si>
  <si>
    <t>Non-Active Deadline State Consistency</t>
  </si>
  <si>
    <t>Ensures DRAFT, COMPLETED, and REJECTED maintain correct deadline classifications.</t>
  </si>
  <si>
    <t>CHK014</t>
  </si>
  <si>
    <t>Synthetic Provenance Tagging &amp; Anchor Date Integrity</t>
  </si>
  <si>
    <t>Confirms 100% of records are marked SYNTHETIC_DEMO anchored to 2026-10-25.</t>
  </si>
  <si>
    <t>OVERALL</t>
  </si>
  <si>
    <t>Total Dataset Discrepancies &amp; Compliance Audit</t>
  </si>
  <si>
    <t>Aggregate verification formula proving full dataset integrity compliance across all 14 audits.</t>
  </si>
  <si>
    <t>Audit Standard:</t>
  </si>
  <si>
    <t>AICTE / Regulatory Synthetic Benchmark v2.0</t>
  </si>
  <si>
    <t>Evaluation Date:</t>
  </si>
  <si>
    <t>2026-10-25 (Fixed Reference Date)</t>
  </si>
  <si>
    <t>Audit Conclusion:</t>
  </si>
  <si>
    <t>100% Verified Compliant: 0 discrepancies across 25 records and 15 institutions.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</si>
</sst>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16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b/>
      <color rgb="FFFFFFFF"/>
      <name val="Calibri"/>
      <scheme val="minor"/>
    </font>
    <font>
      <b/>
      <sz val="11.0"/>
      <color rgb="FFFFFFFF"/>
      <name val="Calibri"/>
      <scheme val="minor"/>
    </font>
    <font/>
    <font>
      <b/>
      <sz val="9.0"/>
      <color rgb="FF263F66"/>
      <name val="Calibri"/>
      <scheme val="minor"/>
    </font>
    <font>
      <b/>
      <sz val="18.0"/>
      <color rgb="FF1E3A5E"/>
      <name val="Calibri"/>
      <scheme val="minor"/>
    </font>
    <font>
      <b/>
      <sz val="18.0"/>
      <color rgb="FFBF2626"/>
      <name val="Calibri"/>
      <scheme val="minor"/>
    </font>
    <font>
      <sz val="8.0"/>
      <color rgb="FF66728C"/>
      <name val="Calibri"/>
      <scheme val="minor"/>
    </font>
    <font>
      <b/>
      <sz val="9.0"/>
      <color rgb="FFFFFFFF"/>
      <name val="Calibri"/>
      <scheme val="minor"/>
    </font>
    <font>
      <b/>
      <sz val="12.0"/>
      <color rgb="FFFFFFFF"/>
      <name val="Calibri"/>
      <scheme val="minor"/>
    </font>
    <font>
      <sz val="9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E395F"/>
        <bgColor rgb="FF1E395F"/>
      </patternFill>
    </fill>
    <fill>
      <patternFill patternType="solid">
        <fgColor rgb="FFFFFFFF"/>
        <bgColor rgb="FFFFFFFF"/>
      </patternFill>
    </fill>
    <fill>
      <patternFill patternType="solid">
        <fgColor rgb="FFEDF2F9"/>
        <bgColor rgb="FFEDF2F9"/>
      </patternFill>
    </fill>
    <fill>
      <patternFill patternType="solid">
        <fgColor rgb="FFF7F9FF"/>
        <bgColor rgb="FFF7F9FF"/>
      </patternFill>
    </fill>
    <fill>
      <patternFill patternType="solid">
        <fgColor rgb="FF2C4A75"/>
        <bgColor rgb="FF2C4A7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2" fontId="1" numFmtId="0" xfId="0" applyAlignment="1" applyFill="1" applyFont="1">
      <alignment horizontal="left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vertical="top"/>
    </xf>
    <xf borderId="0" fillId="0" fontId="5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1" fillId="3" fontId="6" numFmtId="0" xfId="0" applyAlignment="1" applyBorder="1" applyFill="1" applyFont="1">
      <alignment shrinkToFit="0" vertical="center" wrapText="1"/>
    </xf>
    <xf borderId="2" fillId="2" fontId="7" numFmtId="0" xfId="0" applyAlignment="1" applyBorder="1" applyFill="1" applyFont="1">
      <alignment horizontal="center" readingOrder="0" shrinkToFit="0" vertical="center" wrapText="1"/>
    </xf>
    <xf borderId="3" fillId="0" fontId="8" numFmtId="0" xfId="0" applyBorder="1" applyFont="1"/>
    <xf borderId="4" fillId="0" fontId="8" numFmtId="0" xfId="0" applyBorder="1" applyFont="1"/>
    <xf borderId="0" fillId="3" fontId="2" numFmtId="0" xfId="0" applyFill="1" applyFont="1"/>
    <xf borderId="0" fillId="4" fontId="9" numFmtId="0" xfId="0" applyAlignment="1" applyFill="1" applyFont="1">
      <alignment horizontal="center" readingOrder="0" vertical="center"/>
    </xf>
    <xf borderId="0" fillId="5" fontId="10" numFmtId="0" xfId="0" applyAlignment="1" applyFill="1" applyFont="1">
      <alignment horizontal="center" vertical="center"/>
    </xf>
    <xf borderId="0" fillId="5" fontId="11" numFmtId="0" xfId="0" applyAlignment="1" applyFill="1" applyFont="1">
      <alignment horizontal="center" vertical="center"/>
    </xf>
    <xf borderId="0" fillId="5" fontId="12" numFmtId="0" xfId="0" applyAlignment="1" applyFill="1" applyFont="1">
      <alignment horizontal="center" readingOrder="0" vertical="center"/>
    </xf>
    <xf borderId="0" fillId="2" fontId="13" numFmtId="0" xfId="0" applyAlignment="1" applyFill="1" applyFont="1">
      <alignment readingOrder="0"/>
    </xf>
    <xf borderId="0" fillId="0" fontId="2" numFmtId="0" xfId="0" applyFont="1"/>
    <xf borderId="0" fillId="0" fontId="2" numFmtId="165" xfId="0" applyAlignment="1" applyFont="1" applyNumberFormat="1">
      <alignment horizontal="right"/>
    </xf>
    <xf borderId="0" fillId="4" fontId="3" numFmtId="0" xfId="0" applyAlignment="1" applyFill="1" applyFont="1">
      <alignment readingOrder="0"/>
    </xf>
    <xf borderId="0" fillId="4" fontId="3" numFmtId="0" xfId="0" applyFill="1" applyFont="1"/>
    <xf borderId="0" fillId="4" fontId="3" numFmtId="165" xfId="0" applyAlignment="1" applyFill="1" applyFont="1" applyNumberFormat="1">
      <alignment horizontal="right"/>
    </xf>
    <xf borderId="0" fillId="2" fontId="14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left" readingOrder="0" vertical="center"/>
    </xf>
    <xf borderId="0" fillId="6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15" numFmtId="0" xfId="0" applyAlignment="1" applyFont="1">
      <alignment readingOrder="0" shrinkToFit="0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2">
    <dxf>
      <font>
        <b/>
        <color rgb="FFA51926"/>
      </font>
      <fill>
        <patternFill patternType="solid">
          <fgColor rgb="FFFCD8DB"/>
          <bgColor rgb="FFFCD8DB"/>
        </patternFill>
      </fill>
      <border/>
    </dxf>
    <dxf>
      <font>
        <b/>
        <color rgb="FF0C6633"/>
      </font>
      <fill>
        <patternFill patternType="solid">
          <fgColor rgb="FFD3EFDB"/>
          <bgColor rgb="FFD3EFD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14.71"/>
    <col customWidth="1" min="3" max="4" width="20.86"/>
    <col customWidth="1" min="5" max="5" width="19.14"/>
    <col customWidth="1" min="6" max="6" width="15.86"/>
    <col customWidth="1" min="7" max="7" width="19.29"/>
    <col customWidth="1" min="8" max="8" width="11.57"/>
    <col customWidth="1" min="9" max="9" width="30.29"/>
    <col customWidth="1" min="10" max="10" width="16.57"/>
    <col customWidth="1" min="11" max="11" width="13.57"/>
    <col customWidth="1" min="12" max="12" width="18.57"/>
    <col customWidth="1" min="13" max="13" width="22.14"/>
    <col customWidth="1" min="14" max="14" width="15.43"/>
    <col customWidth="1" min="15" max="15" width="72.86"/>
    <col customWidth="1" min="16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18</v>
      </c>
      <c r="F2" s="3"/>
      <c r="G2" s="4">
        <v>46319.0</v>
      </c>
      <c r="H2" s="3"/>
      <c r="I2" s="2" t="s">
        <v>19</v>
      </c>
      <c r="J2" s="2" t="s">
        <v>20</v>
      </c>
      <c r="K2" s="4">
        <v>46320.0</v>
      </c>
      <c r="L2" s="2" t="s">
        <v>21</v>
      </c>
      <c r="M2" s="2" t="s">
        <v>22</v>
      </c>
      <c r="N2" s="4">
        <v>46320.0</v>
      </c>
      <c r="O2" s="2" t="s">
        <v>23</v>
      </c>
    </row>
    <row r="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4">
        <v>46317.0</v>
      </c>
      <c r="G3" s="4">
        <v>46319.0</v>
      </c>
      <c r="H3" s="4">
        <v>46327.0</v>
      </c>
      <c r="I3" s="2" t="s">
        <v>29</v>
      </c>
      <c r="J3" s="2" t="s">
        <v>20</v>
      </c>
      <c r="K3" s="4">
        <v>46320.0</v>
      </c>
      <c r="L3" s="2" t="s">
        <v>21</v>
      </c>
      <c r="M3" s="2" t="s">
        <v>30</v>
      </c>
      <c r="N3" s="4">
        <v>46320.0</v>
      </c>
      <c r="O3" s="2" t="s">
        <v>31</v>
      </c>
    </row>
    <row r="4">
      <c r="A4" s="2" t="s">
        <v>32</v>
      </c>
      <c r="B4" s="2" t="s">
        <v>33</v>
      </c>
      <c r="C4" s="2" t="s">
        <v>34</v>
      </c>
      <c r="D4" s="2" t="s">
        <v>35</v>
      </c>
      <c r="E4" s="2" t="s">
        <v>28</v>
      </c>
      <c r="F4" s="4">
        <v>46315.0</v>
      </c>
      <c r="G4" s="4">
        <v>46318.0</v>
      </c>
      <c r="H4" s="4">
        <v>46323.0</v>
      </c>
      <c r="I4" s="2" t="s">
        <v>36</v>
      </c>
      <c r="J4" s="2" t="s">
        <v>20</v>
      </c>
      <c r="K4" s="4">
        <v>46319.0</v>
      </c>
      <c r="L4" s="2" t="s">
        <v>21</v>
      </c>
      <c r="M4" s="2" t="s">
        <v>37</v>
      </c>
      <c r="N4" s="4">
        <v>46320.0</v>
      </c>
      <c r="O4" s="2" t="s">
        <v>38</v>
      </c>
    </row>
    <row r="5">
      <c r="A5" s="2" t="s">
        <v>39</v>
      </c>
      <c r="B5" s="2" t="s">
        <v>40</v>
      </c>
      <c r="C5" s="2" t="s">
        <v>17</v>
      </c>
      <c r="D5" s="2" t="s">
        <v>41</v>
      </c>
      <c r="E5" s="2" t="s">
        <v>28</v>
      </c>
      <c r="F5" s="4">
        <v>46313.0</v>
      </c>
      <c r="G5" s="4">
        <v>46317.0</v>
      </c>
      <c r="H5" s="4">
        <v>46325.0</v>
      </c>
      <c r="I5" s="2" t="s">
        <v>42</v>
      </c>
      <c r="J5" s="2" t="s">
        <v>20</v>
      </c>
      <c r="K5" s="4">
        <v>46318.0</v>
      </c>
      <c r="L5" s="2" t="s">
        <v>21</v>
      </c>
      <c r="M5" s="2" t="s">
        <v>30</v>
      </c>
      <c r="N5" s="4">
        <v>46320.0</v>
      </c>
      <c r="O5" s="2" t="s">
        <v>43</v>
      </c>
    </row>
    <row r="6">
      <c r="A6" s="2" t="s">
        <v>44</v>
      </c>
      <c r="B6" s="2" t="s">
        <v>45</v>
      </c>
      <c r="C6" s="2" t="s">
        <v>26</v>
      </c>
      <c r="D6" s="2" t="s">
        <v>41</v>
      </c>
      <c r="E6" s="2" t="s">
        <v>28</v>
      </c>
      <c r="F6" s="4">
        <v>46309.0</v>
      </c>
      <c r="G6" s="4">
        <v>46312.0</v>
      </c>
      <c r="H6" s="4">
        <v>46317.0</v>
      </c>
      <c r="I6" s="2" t="s">
        <v>42</v>
      </c>
      <c r="J6" s="2" t="s">
        <v>20</v>
      </c>
      <c r="K6" s="4">
        <v>46319.0</v>
      </c>
      <c r="L6" s="2" t="s">
        <v>21</v>
      </c>
      <c r="M6" s="2" t="s">
        <v>46</v>
      </c>
      <c r="N6" s="4">
        <v>46320.0</v>
      </c>
      <c r="O6" s="2" t="s">
        <v>47</v>
      </c>
    </row>
    <row r="7">
      <c r="A7" s="2" t="s">
        <v>48</v>
      </c>
      <c r="B7" s="2" t="s">
        <v>49</v>
      </c>
      <c r="C7" s="2" t="s">
        <v>17</v>
      </c>
      <c r="D7" s="2" t="s">
        <v>50</v>
      </c>
      <c r="E7" s="2" t="s">
        <v>51</v>
      </c>
      <c r="F7" s="4">
        <v>46310.0</v>
      </c>
      <c r="G7" s="4">
        <v>46313.0</v>
      </c>
      <c r="H7" s="4">
        <v>46322.0</v>
      </c>
      <c r="I7" s="2" t="s">
        <v>19</v>
      </c>
      <c r="J7" s="2" t="s">
        <v>52</v>
      </c>
      <c r="K7" s="4">
        <v>46318.0</v>
      </c>
      <c r="L7" s="2" t="s">
        <v>21</v>
      </c>
      <c r="M7" s="2" t="s">
        <v>37</v>
      </c>
      <c r="N7" s="4">
        <v>46320.0</v>
      </c>
      <c r="O7" s="2" t="s">
        <v>53</v>
      </c>
    </row>
    <row r="8">
      <c r="A8" s="2" t="s">
        <v>54</v>
      </c>
      <c r="B8" s="2" t="s">
        <v>55</v>
      </c>
      <c r="C8" s="2" t="s">
        <v>26</v>
      </c>
      <c r="D8" s="2" t="s">
        <v>50</v>
      </c>
      <c r="E8" s="2" t="s">
        <v>51</v>
      </c>
      <c r="F8" s="4">
        <v>46305.0</v>
      </c>
      <c r="G8" s="4">
        <v>46309.0</v>
      </c>
      <c r="H8" s="4">
        <v>46318.0</v>
      </c>
      <c r="I8" s="2" t="s">
        <v>19</v>
      </c>
      <c r="J8" s="2" t="s">
        <v>52</v>
      </c>
      <c r="K8" s="4">
        <v>46317.0</v>
      </c>
      <c r="L8" s="2" t="s">
        <v>21</v>
      </c>
      <c r="M8" s="2" t="s">
        <v>46</v>
      </c>
      <c r="N8" s="4">
        <v>46320.0</v>
      </c>
      <c r="O8" s="2" t="s">
        <v>56</v>
      </c>
    </row>
    <row r="9">
      <c r="A9" s="2" t="s">
        <v>57</v>
      </c>
      <c r="B9" s="2" t="s">
        <v>58</v>
      </c>
      <c r="C9" s="2" t="s">
        <v>34</v>
      </c>
      <c r="D9" s="2" t="s">
        <v>50</v>
      </c>
      <c r="E9" s="2" t="s">
        <v>51</v>
      </c>
      <c r="F9" s="4">
        <v>46311.0</v>
      </c>
      <c r="G9" s="4">
        <v>46316.0</v>
      </c>
      <c r="H9" s="4">
        <v>46324.0</v>
      </c>
      <c r="I9" s="2" t="s">
        <v>19</v>
      </c>
      <c r="J9" s="2" t="s">
        <v>52</v>
      </c>
      <c r="K9" s="4">
        <v>46319.0</v>
      </c>
      <c r="L9" s="2" t="s">
        <v>21</v>
      </c>
      <c r="M9" s="2" t="s">
        <v>30</v>
      </c>
      <c r="N9" s="4">
        <v>46320.0</v>
      </c>
      <c r="O9" s="2" t="s">
        <v>59</v>
      </c>
    </row>
    <row r="10">
      <c r="A10" s="2" t="s">
        <v>60</v>
      </c>
      <c r="B10" s="2" t="s">
        <v>61</v>
      </c>
      <c r="C10" s="2" t="s">
        <v>17</v>
      </c>
      <c r="D10" s="2" t="s">
        <v>50</v>
      </c>
      <c r="E10" s="2" t="s">
        <v>51</v>
      </c>
      <c r="F10" s="4">
        <v>46307.0</v>
      </c>
      <c r="G10" s="4">
        <v>46311.0</v>
      </c>
      <c r="H10" s="4">
        <v>46320.0</v>
      </c>
      <c r="I10" s="2" t="s">
        <v>19</v>
      </c>
      <c r="J10" s="2" t="s">
        <v>52</v>
      </c>
      <c r="K10" s="4">
        <v>46319.0</v>
      </c>
      <c r="L10" s="2" t="s">
        <v>21</v>
      </c>
      <c r="M10" s="2" t="s">
        <v>62</v>
      </c>
      <c r="N10" s="4">
        <v>46320.0</v>
      </c>
      <c r="O10" s="2" t="s">
        <v>63</v>
      </c>
    </row>
    <row r="11">
      <c r="A11" s="2" t="s">
        <v>64</v>
      </c>
      <c r="B11" s="2" t="s">
        <v>65</v>
      </c>
      <c r="C11" s="2" t="s">
        <v>26</v>
      </c>
      <c r="D11" s="2" t="s">
        <v>66</v>
      </c>
      <c r="E11" s="2" t="s">
        <v>28</v>
      </c>
      <c r="F11" s="4">
        <v>46306.0</v>
      </c>
      <c r="G11" s="4">
        <v>46316.0</v>
      </c>
      <c r="H11" s="4">
        <v>46322.0</v>
      </c>
      <c r="I11" s="2" t="s">
        <v>42</v>
      </c>
      <c r="J11" s="2" t="s">
        <v>20</v>
      </c>
      <c r="K11" s="4">
        <v>46318.0</v>
      </c>
      <c r="L11" s="2" t="s">
        <v>21</v>
      </c>
      <c r="M11" s="2" t="s">
        <v>37</v>
      </c>
      <c r="N11" s="4">
        <v>46320.0</v>
      </c>
      <c r="O11" s="2" t="s">
        <v>67</v>
      </c>
    </row>
    <row r="12">
      <c r="A12" s="2" t="s">
        <v>68</v>
      </c>
      <c r="B12" s="2" t="s">
        <v>69</v>
      </c>
      <c r="C12" s="2" t="s">
        <v>17</v>
      </c>
      <c r="D12" s="2" t="s">
        <v>66</v>
      </c>
      <c r="E12" s="2" t="s">
        <v>28</v>
      </c>
      <c r="F12" s="4">
        <v>46308.0</v>
      </c>
      <c r="G12" s="4">
        <v>46314.0</v>
      </c>
      <c r="H12" s="4">
        <v>46319.0</v>
      </c>
      <c r="I12" s="2" t="s">
        <v>42</v>
      </c>
      <c r="J12" s="2" t="s">
        <v>20</v>
      </c>
      <c r="K12" s="4">
        <v>46319.0</v>
      </c>
      <c r="L12" s="2" t="s">
        <v>21</v>
      </c>
      <c r="M12" s="2" t="s">
        <v>46</v>
      </c>
      <c r="N12" s="4">
        <v>46320.0</v>
      </c>
      <c r="O12" s="2" t="s">
        <v>70</v>
      </c>
    </row>
    <row r="13">
      <c r="A13" s="2" t="s">
        <v>71</v>
      </c>
      <c r="B13" s="2" t="s">
        <v>72</v>
      </c>
      <c r="C13" s="2" t="s">
        <v>26</v>
      </c>
      <c r="D13" s="2" t="s">
        <v>66</v>
      </c>
      <c r="E13" s="2" t="s">
        <v>28</v>
      </c>
      <c r="F13" s="4">
        <v>46312.0</v>
      </c>
      <c r="G13" s="4">
        <v>46318.0</v>
      </c>
      <c r="H13" s="4">
        <v>46326.0</v>
      </c>
      <c r="I13" s="2" t="s">
        <v>42</v>
      </c>
      <c r="J13" s="2" t="s">
        <v>20</v>
      </c>
      <c r="K13" s="4">
        <v>46319.0</v>
      </c>
      <c r="L13" s="2" t="s">
        <v>21</v>
      </c>
      <c r="M13" s="2" t="s">
        <v>30</v>
      </c>
      <c r="N13" s="4">
        <v>46320.0</v>
      </c>
      <c r="O13" s="2" t="s">
        <v>73</v>
      </c>
    </row>
    <row r="14">
      <c r="A14" s="2" t="s">
        <v>74</v>
      </c>
      <c r="B14" s="2" t="s">
        <v>75</v>
      </c>
      <c r="C14" s="2" t="s">
        <v>34</v>
      </c>
      <c r="D14" s="2" t="s">
        <v>76</v>
      </c>
      <c r="E14" s="2" t="s">
        <v>28</v>
      </c>
      <c r="F14" s="4">
        <v>46307.0</v>
      </c>
      <c r="G14" s="4">
        <v>46317.0</v>
      </c>
      <c r="H14" s="4">
        <v>46323.0</v>
      </c>
      <c r="I14" s="2" t="s">
        <v>77</v>
      </c>
      <c r="J14" s="2" t="s">
        <v>20</v>
      </c>
      <c r="K14" s="4">
        <v>46318.0</v>
      </c>
      <c r="L14" s="2" t="s">
        <v>21</v>
      </c>
      <c r="M14" s="2" t="s">
        <v>37</v>
      </c>
      <c r="N14" s="4">
        <v>46320.0</v>
      </c>
      <c r="O14" s="2" t="s">
        <v>78</v>
      </c>
    </row>
    <row r="15">
      <c r="A15" s="2" t="s">
        <v>79</v>
      </c>
      <c r="B15" s="2" t="s">
        <v>80</v>
      </c>
      <c r="C15" s="2" t="s">
        <v>17</v>
      </c>
      <c r="D15" s="2" t="s">
        <v>81</v>
      </c>
      <c r="E15" s="2" t="s">
        <v>28</v>
      </c>
      <c r="F15" s="4">
        <v>46310.0</v>
      </c>
      <c r="G15" s="4">
        <v>46316.0</v>
      </c>
      <c r="H15" s="4">
        <v>46325.0</v>
      </c>
      <c r="I15" s="2" t="s">
        <v>77</v>
      </c>
      <c r="J15" s="2" t="s">
        <v>20</v>
      </c>
      <c r="K15" s="4">
        <v>46317.0</v>
      </c>
      <c r="L15" s="2" t="s">
        <v>21</v>
      </c>
      <c r="M15" s="2" t="s">
        <v>30</v>
      </c>
      <c r="N15" s="4">
        <v>46320.0</v>
      </c>
      <c r="O15" s="2" t="s">
        <v>82</v>
      </c>
    </row>
    <row r="16">
      <c r="A16" s="2" t="s">
        <v>83</v>
      </c>
      <c r="B16" s="2" t="s">
        <v>84</v>
      </c>
      <c r="C16" s="2" t="s">
        <v>26</v>
      </c>
      <c r="D16" s="2" t="s">
        <v>81</v>
      </c>
      <c r="E16" s="2" t="s">
        <v>28</v>
      </c>
      <c r="F16" s="4">
        <v>46305.0</v>
      </c>
      <c r="G16" s="4">
        <v>46313.0</v>
      </c>
      <c r="H16" s="4">
        <v>46318.0</v>
      </c>
      <c r="I16" s="2" t="s">
        <v>77</v>
      </c>
      <c r="J16" s="2" t="s">
        <v>20</v>
      </c>
      <c r="K16" s="4">
        <v>46319.0</v>
      </c>
      <c r="L16" s="2" t="s">
        <v>21</v>
      </c>
      <c r="M16" s="2" t="s">
        <v>46</v>
      </c>
      <c r="N16" s="4">
        <v>46320.0</v>
      </c>
      <c r="O16" s="2" t="s">
        <v>85</v>
      </c>
    </row>
    <row r="17">
      <c r="A17" s="2" t="s">
        <v>86</v>
      </c>
      <c r="B17" s="2" t="s">
        <v>16</v>
      </c>
      <c r="C17" s="2" t="s">
        <v>17</v>
      </c>
      <c r="D17" s="2" t="s">
        <v>87</v>
      </c>
      <c r="E17" s="2" t="s">
        <v>28</v>
      </c>
      <c r="F17" s="4">
        <v>46309.0</v>
      </c>
      <c r="G17" s="4">
        <v>46317.0</v>
      </c>
      <c r="H17" s="4">
        <v>46323.0</v>
      </c>
      <c r="I17" s="2" t="s">
        <v>77</v>
      </c>
      <c r="J17" s="2" t="s">
        <v>20</v>
      </c>
      <c r="K17" s="4">
        <v>46319.0</v>
      </c>
      <c r="L17" s="2" t="s">
        <v>21</v>
      </c>
      <c r="M17" s="2" t="s">
        <v>37</v>
      </c>
      <c r="N17" s="4">
        <v>46320.0</v>
      </c>
      <c r="O17" s="2" t="s">
        <v>88</v>
      </c>
    </row>
    <row r="18">
      <c r="A18" s="2" t="s">
        <v>89</v>
      </c>
      <c r="B18" s="2" t="s">
        <v>25</v>
      </c>
      <c r="C18" s="2" t="s">
        <v>26</v>
      </c>
      <c r="D18" s="2" t="s">
        <v>90</v>
      </c>
      <c r="E18" s="2" t="s">
        <v>28</v>
      </c>
      <c r="F18" s="4">
        <v>46303.0</v>
      </c>
      <c r="G18" s="4">
        <v>46313.0</v>
      </c>
      <c r="H18" s="4">
        <v>46322.0</v>
      </c>
      <c r="I18" s="2" t="s">
        <v>91</v>
      </c>
      <c r="J18" s="2" t="s">
        <v>20</v>
      </c>
      <c r="K18" s="4">
        <v>46318.0</v>
      </c>
      <c r="L18" s="2" t="s">
        <v>21</v>
      </c>
      <c r="M18" s="2" t="s">
        <v>37</v>
      </c>
      <c r="N18" s="4">
        <v>46320.0</v>
      </c>
      <c r="O18" s="2" t="s">
        <v>92</v>
      </c>
    </row>
    <row r="19">
      <c r="A19" s="2" t="s">
        <v>93</v>
      </c>
      <c r="B19" s="2" t="s">
        <v>33</v>
      </c>
      <c r="C19" s="2" t="s">
        <v>34</v>
      </c>
      <c r="D19" s="2" t="s">
        <v>90</v>
      </c>
      <c r="E19" s="2" t="s">
        <v>28</v>
      </c>
      <c r="F19" s="4">
        <v>46301.0</v>
      </c>
      <c r="G19" s="4">
        <v>46310.0</v>
      </c>
      <c r="H19" s="4">
        <v>46317.0</v>
      </c>
      <c r="I19" s="2" t="s">
        <v>91</v>
      </c>
      <c r="J19" s="2" t="s">
        <v>20</v>
      </c>
      <c r="K19" s="4">
        <v>46319.0</v>
      </c>
      <c r="L19" s="2" t="s">
        <v>21</v>
      </c>
      <c r="M19" s="2" t="s">
        <v>46</v>
      </c>
      <c r="N19" s="4">
        <v>46320.0</v>
      </c>
      <c r="O19" s="2" t="s">
        <v>94</v>
      </c>
    </row>
    <row r="20">
      <c r="A20" s="2" t="s">
        <v>95</v>
      </c>
      <c r="B20" s="2" t="s">
        <v>40</v>
      </c>
      <c r="C20" s="2" t="s">
        <v>17</v>
      </c>
      <c r="D20" s="2" t="s">
        <v>96</v>
      </c>
      <c r="E20" s="2" t="s">
        <v>28</v>
      </c>
      <c r="F20" s="4">
        <v>46307.0</v>
      </c>
      <c r="G20" s="4">
        <v>46316.0</v>
      </c>
      <c r="H20" s="4">
        <v>46319.0</v>
      </c>
      <c r="I20" s="2" t="s">
        <v>97</v>
      </c>
      <c r="J20" s="2" t="s">
        <v>20</v>
      </c>
      <c r="K20" s="4">
        <v>46319.0</v>
      </c>
      <c r="L20" s="2" t="s">
        <v>21</v>
      </c>
      <c r="M20" s="2" t="s">
        <v>46</v>
      </c>
      <c r="N20" s="4">
        <v>46320.0</v>
      </c>
      <c r="O20" s="2" t="s">
        <v>98</v>
      </c>
    </row>
    <row r="21" ht="15.75" customHeight="1">
      <c r="A21" s="2" t="s">
        <v>99</v>
      </c>
      <c r="B21" s="2" t="s">
        <v>45</v>
      </c>
      <c r="C21" s="2" t="s">
        <v>26</v>
      </c>
      <c r="D21" s="2" t="s">
        <v>96</v>
      </c>
      <c r="E21" s="2" t="s">
        <v>28</v>
      </c>
      <c r="F21" s="4">
        <v>46309.0</v>
      </c>
      <c r="G21" s="4">
        <v>46318.0</v>
      </c>
      <c r="H21" s="4">
        <v>46324.0</v>
      </c>
      <c r="I21" s="2" t="s">
        <v>97</v>
      </c>
      <c r="J21" s="2" t="s">
        <v>20</v>
      </c>
      <c r="K21" s="4">
        <v>46319.0</v>
      </c>
      <c r="L21" s="2" t="s">
        <v>21</v>
      </c>
      <c r="M21" s="2" t="s">
        <v>30</v>
      </c>
      <c r="N21" s="4">
        <v>46320.0</v>
      </c>
      <c r="O21" s="2" t="s">
        <v>100</v>
      </c>
    </row>
    <row r="22" ht="15.75" customHeight="1">
      <c r="A22" s="2" t="s">
        <v>101</v>
      </c>
      <c r="B22" s="2" t="s">
        <v>49</v>
      </c>
      <c r="C22" s="2" t="s">
        <v>17</v>
      </c>
      <c r="D22" s="2" t="s">
        <v>102</v>
      </c>
      <c r="E22" s="2" t="s">
        <v>102</v>
      </c>
      <c r="F22" s="4">
        <v>46300.0</v>
      </c>
      <c r="G22" s="4">
        <v>46311.0</v>
      </c>
      <c r="H22" s="4">
        <v>46315.0</v>
      </c>
      <c r="I22" s="2" t="s">
        <v>103</v>
      </c>
      <c r="J22" s="2" t="s">
        <v>20</v>
      </c>
      <c r="K22" s="4">
        <v>46315.0</v>
      </c>
      <c r="L22" s="2" t="s">
        <v>21</v>
      </c>
      <c r="M22" s="2" t="s">
        <v>102</v>
      </c>
      <c r="N22" s="4">
        <v>46320.0</v>
      </c>
      <c r="O22" s="2" t="s">
        <v>104</v>
      </c>
    </row>
    <row r="23" ht="15.75" customHeight="1">
      <c r="A23" s="2" t="s">
        <v>105</v>
      </c>
      <c r="B23" s="2" t="s">
        <v>55</v>
      </c>
      <c r="C23" s="2" t="s">
        <v>26</v>
      </c>
      <c r="D23" s="2" t="s">
        <v>102</v>
      </c>
      <c r="E23" s="2" t="s">
        <v>102</v>
      </c>
      <c r="F23" s="4">
        <v>46299.0</v>
      </c>
      <c r="G23" s="4">
        <v>46310.0</v>
      </c>
      <c r="H23" s="4">
        <v>46314.0</v>
      </c>
      <c r="I23" s="2" t="s">
        <v>103</v>
      </c>
      <c r="J23" s="2" t="s">
        <v>20</v>
      </c>
      <c r="K23" s="4">
        <v>46316.0</v>
      </c>
      <c r="L23" s="2" t="s">
        <v>21</v>
      </c>
      <c r="M23" s="2" t="s">
        <v>102</v>
      </c>
      <c r="N23" s="4">
        <v>46320.0</v>
      </c>
      <c r="O23" s="2" t="s">
        <v>106</v>
      </c>
    </row>
    <row r="24" ht="15.75" customHeight="1">
      <c r="A24" s="2" t="s">
        <v>107</v>
      </c>
      <c r="B24" s="2" t="s">
        <v>58</v>
      </c>
      <c r="C24" s="2" t="s">
        <v>34</v>
      </c>
      <c r="D24" s="2" t="s">
        <v>102</v>
      </c>
      <c r="E24" s="2" t="s">
        <v>102</v>
      </c>
      <c r="F24" s="4">
        <v>46298.0</v>
      </c>
      <c r="G24" s="4">
        <v>46309.0</v>
      </c>
      <c r="H24" s="4">
        <v>46313.0</v>
      </c>
      <c r="I24" s="2" t="s">
        <v>103</v>
      </c>
      <c r="J24" s="2" t="s">
        <v>20</v>
      </c>
      <c r="K24" s="4">
        <v>46317.0</v>
      </c>
      <c r="L24" s="2" t="s">
        <v>21</v>
      </c>
      <c r="M24" s="2" t="s">
        <v>102</v>
      </c>
      <c r="N24" s="4">
        <v>46320.0</v>
      </c>
      <c r="O24" s="2" t="s">
        <v>108</v>
      </c>
    </row>
    <row r="25" ht="15.75" customHeight="1">
      <c r="A25" s="2" t="s">
        <v>109</v>
      </c>
      <c r="B25" s="2" t="s">
        <v>61</v>
      </c>
      <c r="C25" s="2" t="s">
        <v>17</v>
      </c>
      <c r="D25" s="2" t="s">
        <v>110</v>
      </c>
      <c r="E25" s="2" t="s">
        <v>110</v>
      </c>
      <c r="F25" s="4">
        <v>46297.0</v>
      </c>
      <c r="G25" s="4">
        <v>46311.0</v>
      </c>
      <c r="H25" s="4">
        <v>46317.0</v>
      </c>
      <c r="I25" s="2" t="s">
        <v>111</v>
      </c>
      <c r="J25" s="2" t="s">
        <v>20</v>
      </c>
      <c r="K25" s="4">
        <v>46318.0</v>
      </c>
      <c r="L25" s="2" t="s">
        <v>21</v>
      </c>
      <c r="M25" s="2" t="s">
        <v>22</v>
      </c>
      <c r="N25" s="4">
        <v>46320.0</v>
      </c>
      <c r="O25" s="2" t="s">
        <v>112</v>
      </c>
    </row>
    <row r="26" ht="15.75" customHeight="1">
      <c r="A26" s="2" t="s">
        <v>113</v>
      </c>
      <c r="B26" s="2" t="s">
        <v>84</v>
      </c>
      <c r="C26" s="2" t="s">
        <v>34</v>
      </c>
      <c r="D26" s="2" t="s">
        <v>110</v>
      </c>
      <c r="E26" s="2" t="s">
        <v>110</v>
      </c>
      <c r="F26" s="4">
        <v>46296.0</v>
      </c>
      <c r="G26" s="4">
        <v>46310.0</v>
      </c>
      <c r="H26" s="4">
        <v>46316.0</v>
      </c>
      <c r="I26" s="2" t="s">
        <v>111</v>
      </c>
      <c r="J26" s="2" t="s">
        <v>20</v>
      </c>
      <c r="K26" s="4">
        <v>46317.0</v>
      </c>
      <c r="L26" s="2" t="s">
        <v>21</v>
      </c>
      <c r="M26" s="2" t="s">
        <v>22</v>
      </c>
      <c r="N26" s="4">
        <v>46320.0</v>
      </c>
      <c r="O26" s="2" t="s">
        <v>114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6"/>
  <conditionalFormatting sqref="J2:J26">
    <cfRule type="cellIs" dxfId="0" priority="1" stopIfTrue="1" operator="equal">
      <formula>"Yes"</formula>
    </cfRule>
  </conditionalFormatting>
  <dataValidations>
    <dataValidation type="list" allowBlank="1" sqref="D2:D26">
      <formula1>"DRAFT,SUBMITTED,INITIAL_VALIDATION,INITIAL_SCRUTINY,DEFICIENCY_RAISED,RE_SCRUTINY,EVC_PENDING,EVC_SCHEDULED,EVC_COMPLETED,COMMITTEE_REVIEW,DECISION_PENDING,COMPLETED,REJECTED"</formula1>
    </dataValidation>
    <dataValidation type="list" allowBlank="1" sqref="M2:M26">
      <formula1>"ON_TRACK,UPCOMING,DUE_TODAY,OVERDUE,COMPLETED,NO_ACTIVE_DEADLINE"</formula1>
    </dataValidation>
    <dataValidation type="list" allowBlank="1" sqref="E2:E26">
      <formula1>"DRAFT,IN_PROGRESS,ACTION_REQUIRED,COMPLETED,REJECTED"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86"/>
    <col customWidth="1" min="2" max="2" width="23.0"/>
    <col customWidth="1" min="3" max="3" width="50.43"/>
    <col customWidth="1" min="4" max="4" width="17.43"/>
    <col customWidth="1" min="5" max="5" width="202.14"/>
    <col customWidth="1" min="6" max="6" width="114.0"/>
    <col customWidth="1" min="7" max="26" width="8.71"/>
  </cols>
  <sheetData>
    <row r="1" ht="30.0" customHeight="1">
      <c r="A1" s="1" t="s">
        <v>115</v>
      </c>
      <c r="B1" s="1" t="s">
        <v>11</v>
      </c>
      <c r="C1" s="5" t="s">
        <v>116</v>
      </c>
      <c r="D1" s="6" t="s">
        <v>117</v>
      </c>
      <c r="E1" s="6" t="s">
        <v>118</v>
      </c>
      <c r="F1" s="6" t="s">
        <v>119</v>
      </c>
    </row>
    <row r="2">
      <c r="A2" s="7" t="s">
        <v>0</v>
      </c>
      <c r="B2" s="8" t="s">
        <v>120</v>
      </c>
      <c r="C2" s="8" t="s">
        <v>121</v>
      </c>
      <c r="D2" s="2" t="s">
        <v>52</v>
      </c>
      <c r="E2" s="2" t="s">
        <v>122</v>
      </c>
      <c r="F2" s="2" t="s">
        <v>123</v>
      </c>
    </row>
    <row r="3">
      <c r="A3" s="7" t="s">
        <v>1</v>
      </c>
      <c r="B3" s="8" t="s">
        <v>120</v>
      </c>
      <c r="C3" s="8" t="s">
        <v>124</v>
      </c>
      <c r="D3" s="2" t="s">
        <v>52</v>
      </c>
      <c r="E3" s="2" t="s">
        <v>125</v>
      </c>
      <c r="F3" s="2" t="s">
        <v>126</v>
      </c>
    </row>
    <row r="4">
      <c r="A4" s="7" t="s">
        <v>2</v>
      </c>
      <c r="B4" s="8" t="s">
        <v>120</v>
      </c>
      <c r="C4" s="8" t="s">
        <v>127</v>
      </c>
      <c r="D4" s="2" t="s">
        <v>52</v>
      </c>
      <c r="E4" s="2" t="s">
        <v>128</v>
      </c>
      <c r="F4" s="2" t="s">
        <v>129</v>
      </c>
    </row>
    <row r="5">
      <c r="A5" s="7" t="s">
        <v>3</v>
      </c>
      <c r="B5" s="8" t="s">
        <v>120</v>
      </c>
      <c r="C5" s="8" t="s">
        <v>130</v>
      </c>
      <c r="D5" s="2" t="s">
        <v>52</v>
      </c>
      <c r="E5" s="2" t="s">
        <v>131</v>
      </c>
      <c r="F5" s="2" t="s">
        <v>132</v>
      </c>
    </row>
    <row r="6">
      <c r="A6" s="7" t="s">
        <v>4</v>
      </c>
      <c r="B6" s="8" t="s">
        <v>120</v>
      </c>
      <c r="C6" s="8" t="s">
        <v>133</v>
      </c>
      <c r="D6" s="2" t="s">
        <v>52</v>
      </c>
      <c r="E6" s="2" t="s">
        <v>134</v>
      </c>
      <c r="F6" s="2" t="s">
        <v>135</v>
      </c>
    </row>
    <row r="7">
      <c r="A7" s="7" t="s">
        <v>5</v>
      </c>
      <c r="B7" s="8" t="s">
        <v>136</v>
      </c>
      <c r="C7" s="8" t="s">
        <v>137</v>
      </c>
      <c r="D7" s="2" t="s">
        <v>138</v>
      </c>
      <c r="E7" s="2" t="s">
        <v>139</v>
      </c>
      <c r="F7" s="2" t="s">
        <v>140</v>
      </c>
    </row>
    <row r="8">
      <c r="A8" s="7" t="s">
        <v>6</v>
      </c>
      <c r="B8" s="8" t="s">
        <v>136</v>
      </c>
      <c r="C8" s="8" t="s">
        <v>141</v>
      </c>
      <c r="D8" s="2" t="s">
        <v>52</v>
      </c>
      <c r="E8" s="2" t="s">
        <v>142</v>
      </c>
      <c r="F8" s="2" t="s">
        <v>143</v>
      </c>
    </row>
    <row r="9">
      <c r="A9" s="7" t="s">
        <v>7</v>
      </c>
      <c r="B9" s="8" t="s">
        <v>136</v>
      </c>
      <c r="C9" s="8" t="s">
        <v>144</v>
      </c>
      <c r="D9" s="2" t="s">
        <v>138</v>
      </c>
      <c r="E9" s="2" t="s">
        <v>145</v>
      </c>
      <c r="F9" s="2" t="s">
        <v>146</v>
      </c>
    </row>
    <row r="10">
      <c r="A10" s="7" t="s">
        <v>8</v>
      </c>
      <c r="B10" s="8" t="s">
        <v>120</v>
      </c>
      <c r="C10" s="8" t="s">
        <v>147</v>
      </c>
      <c r="D10" s="2" t="s">
        <v>52</v>
      </c>
      <c r="E10" s="2" t="s">
        <v>148</v>
      </c>
      <c r="F10" s="2" t="s">
        <v>149</v>
      </c>
    </row>
    <row r="11">
      <c r="A11" s="7" t="s">
        <v>9</v>
      </c>
      <c r="B11" s="8" t="s">
        <v>120</v>
      </c>
      <c r="C11" s="8" t="s">
        <v>150</v>
      </c>
      <c r="D11" s="2" t="s">
        <v>52</v>
      </c>
      <c r="E11" s="2" t="s">
        <v>151</v>
      </c>
      <c r="F11" s="2" t="s">
        <v>152</v>
      </c>
    </row>
    <row r="12">
      <c r="A12" s="7" t="s">
        <v>10</v>
      </c>
      <c r="B12" s="8" t="s">
        <v>136</v>
      </c>
      <c r="C12" s="8" t="s">
        <v>153</v>
      </c>
      <c r="D12" s="2" t="s">
        <v>52</v>
      </c>
      <c r="E12" s="2" t="s">
        <v>142</v>
      </c>
      <c r="F12" s="2" t="s">
        <v>154</v>
      </c>
    </row>
    <row r="13">
      <c r="A13" s="7" t="s">
        <v>11</v>
      </c>
      <c r="B13" s="8" t="s">
        <v>120</v>
      </c>
      <c r="C13" s="8" t="s">
        <v>155</v>
      </c>
      <c r="D13" s="2" t="s">
        <v>52</v>
      </c>
      <c r="E13" s="2" t="s">
        <v>21</v>
      </c>
      <c r="F13" s="2" t="s">
        <v>156</v>
      </c>
    </row>
    <row r="14">
      <c r="A14" s="7" t="s">
        <v>12</v>
      </c>
      <c r="B14" s="8" t="s">
        <v>120</v>
      </c>
      <c r="C14" s="8" t="s">
        <v>157</v>
      </c>
      <c r="D14" s="2" t="s">
        <v>52</v>
      </c>
      <c r="E14" s="2" t="s">
        <v>158</v>
      </c>
      <c r="F14" s="2" t="s">
        <v>159</v>
      </c>
    </row>
    <row r="15">
      <c r="A15" s="7" t="s">
        <v>13</v>
      </c>
      <c r="B15" s="8" t="s">
        <v>136</v>
      </c>
      <c r="C15" s="8" t="s">
        <v>160</v>
      </c>
      <c r="D15" s="2" t="s">
        <v>52</v>
      </c>
      <c r="E15" s="2" t="s">
        <v>161</v>
      </c>
      <c r="F15" s="2" t="s">
        <v>162</v>
      </c>
    </row>
    <row r="16">
      <c r="A16" s="7" t="s">
        <v>14</v>
      </c>
      <c r="B16" s="8" t="s">
        <v>120</v>
      </c>
      <c r="C16" s="8" t="s">
        <v>163</v>
      </c>
      <c r="D16" s="2" t="s">
        <v>52</v>
      </c>
      <c r="E16" s="2" t="s">
        <v>164</v>
      </c>
      <c r="F16" s="2" t="s">
        <v>165</v>
      </c>
    </row>
    <row r="17">
      <c r="A17" s="7" t="s">
        <v>166</v>
      </c>
      <c r="B17" s="9" t="s">
        <v>167</v>
      </c>
      <c r="C17" s="9" t="s">
        <v>168</v>
      </c>
      <c r="D17" s="6" t="s">
        <v>169</v>
      </c>
      <c r="E17" s="6" t="s">
        <v>170</v>
      </c>
      <c r="F17" s="6" t="s">
        <v>171</v>
      </c>
    </row>
    <row r="18">
      <c r="A18" s="7" t="s">
        <v>172</v>
      </c>
      <c r="B18" s="8" t="s">
        <v>173</v>
      </c>
      <c r="C18" s="8" t="s">
        <v>174</v>
      </c>
      <c r="D18" s="2" t="s">
        <v>175</v>
      </c>
      <c r="E18" s="2" t="s">
        <v>176</v>
      </c>
      <c r="F18" s="2" t="s">
        <v>177</v>
      </c>
    </row>
    <row r="19">
      <c r="A19" s="7" t="s">
        <v>178</v>
      </c>
      <c r="B19" s="8" t="s">
        <v>179</v>
      </c>
      <c r="C19" s="8" t="s">
        <v>180</v>
      </c>
      <c r="D19" s="2" t="s">
        <v>175</v>
      </c>
      <c r="E19" s="2" t="s">
        <v>181</v>
      </c>
      <c r="F19" s="2" t="s">
        <v>182</v>
      </c>
    </row>
    <row r="20">
      <c r="A20" s="7" t="s">
        <v>183</v>
      </c>
      <c r="B20" s="8" t="s">
        <v>184</v>
      </c>
      <c r="C20" s="8" t="s">
        <v>185</v>
      </c>
      <c r="D20" s="2" t="s">
        <v>175</v>
      </c>
      <c r="E20" s="2" t="s">
        <v>186</v>
      </c>
      <c r="F20" s="2" t="s">
        <v>187</v>
      </c>
    </row>
    <row r="21" ht="15.75" customHeight="1">
      <c r="A21" s="7" t="s">
        <v>188</v>
      </c>
      <c r="B21" s="8" t="s">
        <v>189</v>
      </c>
      <c r="C21" s="8" t="s">
        <v>190</v>
      </c>
      <c r="D21" s="2" t="s">
        <v>175</v>
      </c>
      <c r="E21" s="2" t="s">
        <v>191</v>
      </c>
      <c r="F21" s="2" t="s">
        <v>192</v>
      </c>
    </row>
    <row r="22" ht="15.75" customHeight="1">
      <c r="A22" s="7" t="s">
        <v>193</v>
      </c>
      <c r="B22" s="8" t="s">
        <v>194</v>
      </c>
      <c r="C22" s="8" t="s">
        <v>195</v>
      </c>
      <c r="D22" s="2" t="s">
        <v>175</v>
      </c>
      <c r="E22" s="2" t="s">
        <v>196</v>
      </c>
      <c r="F22" s="2" t="s">
        <v>197</v>
      </c>
    </row>
    <row r="23" ht="15.75" customHeight="1">
      <c r="A23" s="2" t="s">
        <v>198</v>
      </c>
      <c r="B23" s="2" t="s">
        <v>199</v>
      </c>
      <c r="C23" s="2" t="s">
        <v>200</v>
      </c>
      <c r="D23" s="2" t="s">
        <v>201</v>
      </c>
      <c r="E23" s="2" t="s">
        <v>202</v>
      </c>
      <c r="F23" s="2" t="s">
        <v>203</v>
      </c>
    </row>
    <row r="24" ht="15.75" customHeight="1">
      <c r="A24" s="2" t="s">
        <v>204</v>
      </c>
      <c r="B24" s="2" t="s">
        <v>205</v>
      </c>
      <c r="C24" s="2" t="s">
        <v>206</v>
      </c>
      <c r="D24" s="2" t="s">
        <v>201</v>
      </c>
      <c r="E24" s="2" t="s">
        <v>207</v>
      </c>
      <c r="F24" s="2" t="s">
        <v>208</v>
      </c>
    </row>
    <row r="25" ht="15.75" customHeight="1">
      <c r="A25" s="2" t="s">
        <v>209</v>
      </c>
      <c r="B25" s="2" t="s">
        <v>210</v>
      </c>
      <c r="C25" s="2" t="s">
        <v>211</v>
      </c>
      <c r="D25" s="2" t="s">
        <v>212</v>
      </c>
      <c r="E25" s="2" t="s">
        <v>213</v>
      </c>
      <c r="F25" s="2" t="s">
        <v>214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6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61.71"/>
    <col customWidth="1" min="3" max="3" width="15.71"/>
    <col customWidth="1" min="4" max="4" width="13.71"/>
    <col customWidth="1" min="5" max="5" width="22.14"/>
    <col customWidth="1" min="6" max="6" width="14.57"/>
    <col customWidth="1" min="7" max="7" width="12.71"/>
    <col customWidth="1" min="8" max="8" width="8.71"/>
    <col customWidth="1" min="9" max="9" width="20.86"/>
    <col customWidth="1" min="10" max="10" width="13.43"/>
    <col customWidth="1" min="11" max="11" width="12.86"/>
    <col customWidth="1" min="12" max="12" width="8.71"/>
    <col customWidth="1" min="13" max="13" width="13.14"/>
    <col customWidth="1" min="14" max="14" width="10.43"/>
    <col customWidth="1" min="15" max="15" width="14.57"/>
    <col customWidth="1" min="16" max="26" width="8.71"/>
  </cols>
  <sheetData>
    <row r="1" ht="30.0" customHeight="1">
      <c r="A1" s="10"/>
      <c r="B1" s="11" t="s">
        <v>215</v>
      </c>
      <c r="C1" s="12"/>
      <c r="D1" s="12"/>
      <c r="E1" s="12"/>
      <c r="F1" s="12"/>
      <c r="G1" s="13"/>
    </row>
    <row r="2">
      <c r="A2" s="14"/>
      <c r="B2" s="15" t="s">
        <v>216</v>
      </c>
      <c r="C2" s="15" t="s">
        <v>217</v>
      </c>
      <c r="D2" s="15" t="s">
        <v>218</v>
      </c>
      <c r="E2" s="15" t="s">
        <v>219</v>
      </c>
      <c r="F2" s="15" t="s">
        <v>220</v>
      </c>
      <c r="G2" s="15" t="s">
        <v>221</v>
      </c>
    </row>
    <row r="3">
      <c r="A3" s="14"/>
      <c r="B3" s="16">
        <f>COUNTA(Applications!A2:A26)</f>
        <v>25</v>
      </c>
      <c r="C3" s="16">
        <f>COUNTIF(Applications!E2:E26, "IN_PROGRESS")</f>
        <v>15</v>
      </c>
      <c r="D3" s="16">
        <f>COUNTIF(Applications!E2:E26, "ACTION_REQUIRED")</f>
        <v>4</v>
      </c>
      <c r="E3" s="16">
        <f>COUNTIF(Applications!E2:E26, "COMPLETED")</f>
        <v>3</v>
      </c>
      <c r="F3" s="16">
        <f>COUNTIF(Applications!E2:E26, "REJECTED")</f>
        <v>2</v>
      </c>
      <c r="G3" s="17">
        <f>COUNTIF(Applications!M2:M26, "OVERDUE")</f>
        <v>6</v>
      </c>
    </row>
    <row r="4">
      <c r="A4" s="14"/>
      <c r="B4" s="18" t="s">
        <v>222</v>
      </c>
      <c r="C4" s="18" t="s">
        <v>223</v>
      </c>
      <c r="D4" s="18" t="s">
        <v>224</v>
      </c>
      <c r="E4" s="18" t="s">
        <v>225</v>
      </c>
      <c r="F4" s="18" t="s">
        <v>226</v>
      </c>
      <c r="G4" s="18" t="s">
        <v>227</v>
      </c>
    </row>
    <row r="5">
      <c r="A5" s="14"/>
    </row>
    <row r="6">
      <c r="B6" s="19" t="s">
        <v>228</v>
      </c>
      <c r="C6" s="19" t="s">
        <v>229</v>
      </c>
      <c r="E6" s="19" t="s">
        <v>230</v>
      </c>
      <c r="F6" s="19" t="s">
        <v>231</v>
      </c>
      <c r="G6" s="19" t="s">
        <v>232</v>
      </c>
      <c r="I6" s="19" t="s">
        <v>233</v>
      </c>
      <c r="J6" s="19" t="s">
        <v>231</v>
      </c>
      <c r="K6" s="19" t="s">
        <v>232</v>
      </c>
      <c r="M6" s="19" t="s">
        <v>234</v>
      </c>
      <c r="N6" s="19" t="s">
        <v>235</v>
      </c>
      <c r="O6" s="19" t="s">
        <v>236</v>
      </c>
    </row>
    <row r="7">
      <c r="B7" s="2" t="s">
        <v>18</v>
      </c>
      <c r="C7" s="20">
        <f>COUNTIF(Applications!$D$2:$D$26, B7)</f>
        <v>1</v>
      </c>
      <c r="E7" s="2" t="s">
        <v>18</v>
      </c>
      <c r="F7" s="20">
        <f>COUNTIF(Applications!$E$2:$E$26, E7)</f>
        <v>1</v>
      </c>
      <c r="G7" s="21">
        <f t="shared" ref="G7:G11" si="1">F7/$C$20</f>
        <v>0.04</v>
      </c>
      <c r="I7" s="2" t="s">
        <v>17</v>
      </c>
      <c r="J7" s="20">
        <f>COUNTIF(Applications!$C$2:$C$26, I7)</f>
        <v>10</v>
      </c>
      <c r="K7" s="21">
        <f t="shared" ref="K7:K9" si="2">J7/$C$20</f>
        <v>0.4</v>
      </c>
      <c r="M7" s="2" t="s">
        <v>16</v>
      </c>
      <c r="N7" s="20">
        <f>COUNTIF(Applications!$B$2:$B$26, M7)</f>
        <v>2</v>
      </c>
      <c r="O7" s="20" t="str">
        <f t="shared" ref="O7:O21" si="3">IF(N7&gt;0,"Covered","Missing")</f>
        <v>Covered</v>
      </c>
    </row>
    <row r="8">
      <c r="B8" s="2" t="s">
        <v>27</v>
      </c>
      <c r="C8" s="20">
        <f>COUNTIF(Applications!$D$2:$D$26, B8)</f>
        <v>1</v>
      </c>
      <c r="E8" s="2" t="s">
        <v>28</v>
      </c>
      <c r="F8" s="20">
        <f>COUNTIF(Applications!$E$2:$E$26, E8)</f>
        <v>15</v>
      </c>
      <c r="G8" s="21">
        <f t="shared" si="1"/>
        <v>0.6</v>
      </c>
      <c r="I8" s="2" t="s">
        <v>26</v>
      </c>
      <c r="J8" s="20">
        <f>COUNTIF(Applications!$C$2:$C$26, I8)</f>
        <v>9</v>
      </c>
      <c r="K8" s="21">
        <f t="shared" si="2"/>
        <v>0.36</v>
      </c>
      <c r="M8" s="2" t="s">
        <v>25</v>
      </c>
      <c r="N8" s="20">
        <f>COUNTIF(Applications!$B$2:$B$26, M8)</f>
        <v>2</v>
      </c>
      <c r="O8" s="20" t="str">
        <f t="shared" si="3"/>
        <v>Covered</v>
      </c>
    </row>
    <row r="9">
      <c r="B9" s="2" t="s">
        <v>35</v>
      </c>
      <c r="C9" s="20">
        <f>COUNTIF(Applications!$D$2:$D$26, B9)</f>
        <v>1</v>
      </c>
      <c r="E9" s="2" t="s">
        <v>51</v>
      </c>
      <c r="F9" s="20">
        <f>COUNTIF(Applications!$E$2:$E$26, E9)</f>
        <v>4</v>
      </c>
      <c r="G9" s="21">
        <f t="shared" si="1"/>
        <v>0.16</v>
      </c>
      <c r="I9" s="2" t="s">
        <v>34</v>
      </c>
      <c r="J9" s="20">
        <f>COUNTIF(Applications!$C$2:$C$26, I9)</f>
        <v>6</v>
      </c>
      <c r="K9" s="21">
        <f t="shared" si="2"/>
        <v>0.24</v>
      </c>
      <c r="M9" s="2" t="s">
        <v>33</v>
      </c>
      <c r="N9" s="20">
        <f>COUNTIF(Applications!$B$2:$B$26, M9)</f>
        <v>2</v>
      </c>
      <c r="O9" s="20" t="str">
        <f t="shared" si="3"/>
        <v>Covered</v>
      </c>
    </row>
    <row r="10">
      <c r="B10" s="2" t="s">
        <v>41</v>
      </c>
      <c r="C10" s="20">
        <f>COUNTIF(Applications!$D$2:$D$26, B10)</f>
        <v>2</v>
      </c>
      <c r="E10" s="2" t="s">
        <v>102</v>
      </c>
      <c r="F10" s="20">
        <f>COUNTIF(Applications!$E$2:$E$26, E10)</f>
        <v>3</v>
      </c>
      <c r="G10" s="21">
        <f t="shared" si="1"/>
        <v>0.12</v>
      </c>
      <c r="I10" s="22" t="s">
        <v>237</v>
      </c>
      <c r="J10" s="23">
        <f t="shared" ref="J10:K10" si="4">SUM(J7:J9)</f>
        <v>25</v>
      </c>
      <c r="K10" s="24">
        <f t="shared" si="4"/>
        <v>1</v>
      </c>
      <c r="M10" s="2" t="s">
        <v>40</v>
      </c>
      <c r="N10" s="20">
        <f>COUNTIF(Applications!$B$2:$B$26, M10)</f>
        <v>2</v>
      </c>
      <c r="O10" s="20" t="str">
        <f t="shared" si="3"/>
        <v>Covered</v>
      </c>
    </row>
    <row r="11">
      <c r="B11" s="2" t="s">
        <v>50</v>
      </c>
      <c r="C11" s="20">
        <f>COUNTIF(Applications!$D$2:$D$26, B11)</f>
        <v>4</v>
      </c>
      <c r="E11" s="2" t="s">
        <v>110</v>
      </c>
      <c r="F11" s="20">
        <f>COUNTIF(Applications!$E$2:$E$26, E11)</f>
        <v>2</v>
      </c>
      <c r="G11" s="21">
        <f t="shared" si="1"/>
        <v>0.08</v>
      </c>
      <c r="M11" s="2" t="s">
        <v>45</v>
      </c>
      <c r="N11" s="20">
        <f>COUNTIF(Applications!$B$2:$B$26, M11)</f>
        <v>2</v>
      </c>
      <c r="O11" s="20" t="str">
        <f t="shared" si="3"/>
        <v>Covered</v>
      </c>
    </row>
    <row r="12">
      <c r="B12" s="2" t="s">
        <v>66</v>
      </c>
      <c r="C12" s="20">
        <f>COUNTIF(Applications!$D$2:$D$26, B12)</f>
        <v>3</v>
      </c>
      <c r="E12" s="22" t="s">
        <v>238</v>
      </c>
      <c r="F12" s="23">
        <f t="shared" ref="F12:G12" si="5">SUM(F7:F11)</f>
        <v>25</v>
      </c>
      <c r="G12" s="24">
        <f t="shared" si="5"/>
        <v>1</v>
      </c>
      <c r="M12" s="2" t="s">
        <v>49</v>
      </c>
      <c r="N12" s="20">
        <f>COUNTIF(Applications!$B$2:$B$26, M12)</f>
        <v>2</v>
      </c>
      <c r="O12" s="20" t="str">
        <f t="shared" si="3"/>
        <v>Covered</v>
      </c>
    </row>
    <row r="13">
      <c r="B13" s="2" t="s">
        <v>76</v>
      </c>
      <c r="C13" s="20">
        <f>COUNTIF(Applications!$D$2:$D$26, B13)</f>
        <v>1</v>
      </c>
      <c r="I13" s="19" t="s">
        <v>239</v>
      </c>
      <c r="J13" s="19" t="s">
        <v>240</v>
      </c>
      <c r="K13" s="19" t="s">
        <v>241</v>
      </c>
      <c r="M13" s="2" t="s">
        <v>55</v>
      </c>
      <c r="N13" s="20">
        <f>COUNTIF(Applications!$B$2:$B$26, M13)</f>
        <v>2</v>
      </c>
      <c r="O13" s="20" t="str">
        <f t="shared" si="3"/>
        <v>Covered</v>
      </c>
    </row>
    <row r="14">
      <c r="B14" s="2" t="s">
        <v>81</v>
      </c>
      <c r="C14" s="20">
        <f>COUNTIF(Applications!$D$2:$D$26, B14)</f>
        <v>2</v>
      </c>
      <c r="E14" s="19" t="s">
        <v>242</v>
      </c>
      <c r="F14" s="19" t="s">
        <v>231</v>
      </c>
      <c r="G14" s="19" t="s">
        <v>232</v>
      </c>
      <c r="I14" s="2" t="s">
        <v>51</v>
      </c>
      <c r="J14" s="20">
        <f>COUNTIFS(Applications!$E$2:$E$26, I14, Applications!$J$2:$J$26, "Yes")</f>
        <v>4</v>
      </c>
      <c r="K14" s="20">
        <f>COUNTIFS(Applications!$E$2:$E$26, I14, Applications!$J$2:$J$26, "No")</f>
        <v>0</v>
      </c>
      <c r="M14" s="2" t="s">
        <v>58</v>
      </c>
      <c r="N14" s="20">
        <f>COUNTIF(Applications!$B$2:$B$26, M14)</f>
        <v>2</v>
      </c>
      <c r="O14" s="20" t="str">
        <f t="shared" si="3"/>
        <v>Covered</v>
      </c>
    </row>
    <row r="15">
      <c r="B15" s="2" t="s">
        <v>87</v>
      </c>
      <c r="C15" s="20">
        <f>COUNTIF(Applications!$D$2:$D$26, B15)</f>
        <v>1</v>
      </c>
      <c r="E15" s="2" t="s">
        <v>30</v>
      </c>
      <c r="F15" s="20">
        <f>COUNTIF(Applications!$M$2:$M$26, E15)</f>
        <v>6</v>
      </c>
      <c r="G15" s="21">
        <f t="shared" ref="G15:G20" si="6">F15/$C$20</f>
        <v>0.24</v>
      </c>
      <c r="I15" s="2" t="s">
        <v>28</v>
      </c>
      <c r="J15" s="20">
        <f>COUNTIFS(Applications!$E$2:$E$26, I15, Applications!$J$2:$J$26, "Yes")</f>
        <v>0</v>
      </c>
      <c r="K15" s="20">
        <f>COUNTIFS(Applications!$E$2:$E$26, I15, Applications!$J$2:$J$26, "No")</f>
        <v>15</v>
      </c>
      <c r="M15" s="2" t="s">
        <v>61</v>
      </c>
      <c r="N15" s="20">
        <f>COUNTIF(Applications!$B$2:$B$26, M15)</f>
        <v>2</v>
      </c>
      <c r="O15" s="20" t="str">
        <f t="shared" si="3"/>
        <v>Covered</v>
      </c>
    </row>
    <row r="16">
      <c r="B16" s="2" t="s">
        <v>90</v>
      </c>
      <c r="C16" s="20">
        <f>COUNTIF(Applications!$D$2:$D$26, B16)</f>
        <v>2</v>
      </c>
      <c r="E16" s="2" t="s">
        <v>37</v>
      </c>
      <c r="F16" s="20">
        <f>COUNTIF(Applications!$M$2:$M$26, E16)</f>
        <v>6</v>
      </c>
      <c r="G16" s="21">
        <f t="shared" si="6"/>
        <v>0.24</v>
      </c>
      <c r="I16" s="2" t="s">
        <v>102</v>
      </c>
      <c r="J16" s="20">
        <f>COUNTIFS(Applications!$E$2:$E$26, I16, Applications!$J$2:$J$26, "Yes")</f>
        <v>0</v>
      </c>
      <c r="K16" s="20">
        <f>COUNTIFS(Applications!$E$2:$E$26, I16, Applications!$J$2:$J$26, "No")</f>
        <v>3</v>
      </c>
      <c r="M16" s="2" t="s">
        <v>65</v>
      </c>
      <c r="N16" s="20">
        <f>COUNTIF(Applications!$B$2:$B$26, M16)</f>
        <v>1</v>
      </c>
      <c r="O16" s="20" t="str">
        <f t="shared" si="3"/>
        <v>Covered</v>
      </c>
    </row>
    <row r="17">
      <c r="B17" s="2" t="s">
        <v>96</v>
      </c>
      <c r="C17" s="20">
        <f>COUNTIF(Applications!$D$2:$D$26, B17)</f>
        <v>2</v>
      </c>
      <c r="E17" s="2" t="s">
        <v>62</v>
      </c>
      <c r="F17" s="20">
        <f>COUNTIF(Applications!$M$2:$M$26, E17)</f>
        <v>1</v>
      </c>
      <c r="G17" s="21">
        <f t="shared" si="6"/>
        <v>0.04</v>
      </c>
      <c r="I17" s="2" t="s">
        <v>110</v>
      </c>
      <c r="J17" s="20">
        <f>COUNTIFS(Applications!$E$2:$E$26, I17, Applications!$J$2:$J$26, "Yes")</f>
        <v>0</v>
      </c>
      <c r="K17" s="20">
        <f>COUNTIFS(Applications!$E$2:$E$26, I17, Applications!$J$2:$J$26, "No")</f>
        <v>2</v>
      </c>
      <c r="M17" s="2" t="s">
        <v>69</v>
      </c>
      <c r="N17" s="20">
        <f>COUNTIF(Applications!$B$2:$B$26, M17)</f>
        <v>1</v>
      </c>
      <c r="O17" s="20" t="str">
        <f t="shared" si="3"/>
        <v>Covered</v>
      </c>
    </row>
    <row r="18">
      <c r="B18" s="2" t="s">
        <v>102</v>
      </c>
      <c r="C18" s="20">
        <f>COUNTIF(Applications!$D$2:$D$26, B18)</f>
        <v>3</v>
      </c>
      <c r="E18" s="2" t="s">
        <v>46</v>
      </c>
      <c r="F18" s="20">
        <f>COUNTIF(Applications!$M$2:$M$26, E18)</f>
        <v>6</v>
      </c>
      <c r="G18" s="21">
        <f t="shared" si="6"/>
        <v>0.24</v>
      </c>
      <c r="I18" s="2" t="s">
        <v>18</v>
      </c>
      <c r="J18" s="20">
        <f>COUNTIFS(Applications!$E$2:$E$26, I18, Applications!$J$2:$J$26, "Yes")</f>
        <v>0</v>
      </c>
      <c r="K18" s="20">
        <f>COUNTIFS(Applications!$E$2:$E$26, I18, Applications!$J$2:$J$26, "No")</f>
        <v>1</v>
      </c>
      <c r="M18" s="2" t="s">
        <v>72</v>
      </c>
      <c r="N18" s="20">
        <f>COUNTIF(Applications!$B$2:$B$26, M18)</f>
        <v>1</v>
      </c>
      <c r="O18" s="20" t="str">
        <f t="shared" si="3"/>
        <v>Covered</v>
      </c>
    </row>
    <row r="19">
      <c r="B19" s="2" t="s">
        <v>110</v>
      </c>
      <c r="C19" s="20">
        <f>COUNTIF(Applications!$D$2:$D$26, B19)</f>
        <v>2</v>
      </c>
      <c r="E19" s="2" t="s">
        <v>102</v>
      </c>
      <c r="F19" s="20">
        <f>COUNTIF(Applications!$M$2:$M$26, E19)</f>
        <v>3</v>
      </c>
      <c r="G19" s="21">
        <f t="shared" si="6"/>
        <v>0.12</v>
      </c>
      <c r="I19" s="2" t="s">
        <v>243</v>
      </c>
      <c r="J19" s="20">
        <f t="shared" ref="J19:K19" si="7">SUM(J14:J18)</f>
        <v>4</v>
      </c>
      <c r="K19" s="20">
        <f t="shared" si="7"/>
        <v>21</v>
      </c>
      <c r="M19" s="2" t="s">
        <v>75</v>
      </c>
      <c r="N19" s="20">
        <f>COUNTIF(Applications!$B$2:$B$26, M19)</f>
        <v>1</v>
      </c>
      <c r="O19" s="20" t="str">
        <f t="shared" si="3"/>
        <v>Covered</v>
      </c>
    </row>
    <row r="20">
      <c r="B20" s="22" t="s">
        <v>244</v>
      </c>
      <c r="C20" s="23">
        <f>SUM(C7:C19)</f>
        <v>25</v>
      </c>
      <c r="E20" s="2" t="s">
        <v>22</v>
      </c>
      <c r="F20" s="20">
        <f>COUNTIF(Applications!$M$2:$M$26, E20)</f>
        <v>3</v>
      </c>
      <c r="G20" s="21">
        <f t="shared" si="6"/>
        <v>0.12</v>
      </c>
      <c r="M20" s="2" t="s">
        <v>80</v>
      </c>
      <c r="N20" s="20">
        <f>COUNTIF(Applications!$B$2:$B$26, M20)</f>
        <v>1</v>
      </c>
      <c r="O20" s="20" t="str">
        <f t="shared" si="3"/>
        <v>Covered</v>
      </c>
    </row>
    <row r="21" ht="15.75" customHeight="1">
      <c r="E21" s="22" t="s">
        <v>245</v>
      </c>
      <c r="F21" s="23">
        <f t="shared" ref="F21:G21" si="8">SUM(F15:F20)</f>
        <v>25</v>
      </c>
      <c r="G21" s="24">
        <f t="shared" si="8"/>
        <v>1</v>
      </c>
      <c r="M21" s="2" t="s">
        <v>84</v>
      </c>
      <c r="N21" s="20">
        <f>COUNTIF(Applications!$B$2:$B$26, M21)</f>
        <v>2</v>
      </c>
      <c r="O21" s="20" t="str">
        <f t="shared" si="3"/>
        <v>Covered</v>
      </c>
    </row>
    <row r="22" ht="15.75" customHeight="1">
      <c r="M22" s="22" t="s">
        <v>246</v>
      </c>
      <c r="N22" s="23">
        <f>SUM(N7:N21)</f>
        <v>25</v>
      </c>
      <c r="O22" s="22" t="str">
        <f>COUNTIF(O7:O21, "Covered") &amp; "/15 Covered"</f>
        <v>15/15 Covered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8.86"/>
    <col customWidth="1" min="2" max="2" width="73.29"/>
    <col customWidth="1" min="3" max="3" width="18.43"/>
    <col customWidth="1" min="4" max="4" width="15.29"/>
    <col customWidth="1" min="5" max="5" width="85.71"/>
  </cols>
  <sheetData>
    <row r="1">
      <c r="A1" s="25" t="s">
        <v>247</v>
      </c>
    </row>
    <row r="2">
      <c r="A2" s="26" t="s">
        <v>248</v>
      </c>
      <c r="B2" s="26" t="s">
        <v>249</v>
      </c>
      <c r="C2" s="27" t="s">
        <v>250</v>
      </c>
      <c r="D2" s="27" t="s">
        <v>251</v>
      </c>
      <c r="E2" s="26" t="s">
        <v>252</v>
      </c>
    </row>
    <row r="3">
      <c r="A3" s="28" t="s">
        <v>253</v>
      </c>
      <c r="B3" s="2" t="s">
        <v>254</v>
      </c>
      <c r="C3" s="29">
        <f>COUNTBLANK(Applications!A2:A26)</f>
        <v>0</v>
      </c>
      <c r="D3" s="29" t="str">
        <f t="shared" ref="D3:D17" si="1">IF(C3=0, "PASS", "FAIL")</f>
        <v>PASS</v>
      </c>
      <c r="E3" s="30" t="s">
        <v>255</v>
      </c>
    </row>
    <row r="4">
      <c r="A4" s="28" t="s">
        <v>256</v>
      </c>
      <c r="B4" s="2" t="s">
        <v>257</v>
      </c>
      <c r="C4" s="29">
        <f t="array" ref="C4">25 - COUNTA(UNIQUE(Applications!A2:A26))</f>
        <v>0</v>
      </c>
      <c r="D4" s="29" t="str">
        <f t="shared" si="1"/>
        <v>PASS</v>
      </c>
      <c r="E4" s="30" t="s">
        <v>258</v>
      </c>
    </row>
    <row r="5">
      <c r="A5" s="28" t="s">
        <v>259</v>
      </c>
      <c r="B5" s="2" t="s">
        <v>260</v>
      </c>
      <c r="C5" s="29">
        <f>COUNTIF(Applications!B2:B26, "&lt;&gt;INST0*") + COUNTBLANK(Applications!B2:B26)</f>
        <v>0</v>
      </c>
      <c r="D5" s="29" t="str">
        <f t="shared" si="1"/>
        <v>PASS</v>
      </c>
      <c r="E5" s="30" t="s">
        <v>261</v>
      </c>
    </row>
    <row r="6">
      <c r="A6" s="28" t="s">
        <v>262</v>
      </c>
      <c r="B6" s="2" t="s">
        <v>263</v>
      </c>
      <c r="C6" s="29">
        <f>25 - (COUNTIF(Applications!C2:C26, "Extension of Approval") + COUNTIF(Applications!C2:C26, "New Programme") + COUNTIF(Applications!C2:C26, "Increase in Intake"))</f>
        <v>0</v>
      </c>
      <c r="D6" s="29" t="str">
        <f t="shared" si="1"/>
        <v>PASS</v>
      </c>
      <c r="E6" s="30" t="s">
        <v>264</v>
      </c>
    </row>
    <row r="7">
      <c r="A7" s="28" t="s">
        <v>265</v>
      </c>
      <c r="B7" s="2" t="s">
        <v>266</v>
      </c>
      <c r="C7" s="29">
        <f>25 - (COUNTIF(Applications!D2:D26, "DRAFT") + COUNTIF(Applications!D2:D26, "SUBMITTED") + COUNTIF(Applications!D2:D26, "INITIAL_VALIDATION") + COUNTIF(Applications!D2:D26, "INITIAL_SCRUTINY") + COUNTIF(Applications!D2:D26, "DEFICIENCY_RAISED") + COUNTIF(Applications!D2:D26, "RE_SCRUTINY") + COUNTIF(Applications!D2:D26, "EVC_PENDING") + COUNTIF(Applications!D2:D26, "EVC_SCHEDULED") + COUNTIF(Applications!D2:D26, "EVC_COMPLETED") + COUNTIF(Applications!D2:D26, "COMMITTEE_REVIEW") + COUNTIF(Applications!D2:D26, "DECISION_PENDING") + COUNTIF(Applications!D2:D26, "COMPLETED") + COUNTIF(Applications!D2:D26, "REJECTED"))</f>
        <v>0</v>
      </c>
      <c r="D7" s="29" t="str">
        <f t="shared" si="1"/>
        <v>PASS</v>
      </c>
      <c r="E7" s="30" t="s">
        <v>267</v>
      </c>
    </row>
    <row r="8">
      <c r="A8" s="28" t="s">
        <v>268</v>
      </c>
      <c r="B8" s="2" t="s">
        <v>269</v>
      </c>
      <c r="C8" s="29">
        <f>25 - (COUNTIF(Applications!E2:E26, "DRAFT") + COUNTIF(Applications!E2:E26, "IN_PROGRESS") + COUNTIF(Applications!E2:E26, "ACTION_REQUIRED") + COUNTIF(Applications!E2:E26, "COMPLETED") + COUNTIF(Applications!E2:E26, "REJECTED"))</f>
        <v>0</v>
      </c>
      <c r="D8" s="29" t="str">
        <f t="shared" si="1"/>
        <v>PASS</v>
      </c>
      <c r="E8" s="30" t="s">
        <v>270</v>
      </c>
    </row>
    <row r="9">
      <c r="A9" s="28" t="s">
        <v>271</v>
      </c>
      <c r="B9" s="2" t="s">
        <v>272</v>
      </c>
      <c r="C9" s="29">
        <f>COUNTIFS(Applications!D2:D26, "DRAFT", Applications!E2:E26, "&lt;&gt;DRAFT") + COUNTIFS(Applications!D2:D26, "DEFICIENCY_RAISED", Applications!E2:E26, "&lt;&gt;ACTION_REQUIRED") + COUNTIFS(Applications!D2:D26, "COMPLETED", Applications!E2:E26, "&lt;&gt;COMPLETED") + COUNTIFS(Applications!D2:D26, "REJECTED", Applications!E2:E26, "&lt;&gt;REJECTED")</f>
        <v>0</v>
      </c>
      <c r="D9" s="29" t="str">
        <f t="shared" si="1"/>
        <v>PASS</v>
      </c>
      <c r="E9" s="30" t="s">
        <v>273</v>
      </c>
    </row>
    <row r="10">
      <c r="A10" s="28" t="s">
        <v>274</v>
      </c>
      <c r="B10" s="2" t="s">
        <v>275</v>
      </c>
      <c r="C10" s="29">
        <f>COUNTIFS(Applications!D2:D26, "DEFICIENCY_RAISED", Applications!J2:J26, "&lt;&gt;Yes") + COUNTIFS(Applications!D2:D26, "&lt;&gt;DEFICIENCY_RAISED", Applications!J2:J26, "Yes")</f>
        <v>0</v>
      </c>
      <c r="D10" s="29" t="str">
        <f t="shared" si="1"/>
        <v>PASS</v>
      </c>
      <c r="E10" s="30" t="s">
        <v>276</v>
      </c>
    </row>
    <row r="11">
      <c r="A11" s="28" t="s">
        <v>277</v>
      </c>
      <c r="B11" s="2" t="s">
        <v>278</v>
      </c>
      <c r="C11" s="29">
        <f>SUMPRODUCT((Applications!G2:G26 &lt; Applications!F2:F26) * (Applications!F2:F26 &lt;&gt; ""))</f>
        <v>0</v>
      </c>
      <c r="D11" s="29" t="str">
        <f t="shared" si="1"/>
        <v>PASS</v>
      </c>
      <c r="E11" s="30" t="s">
        <v>279</v>
      </c>
    </row>
    <row r="12">
      <c r="A12" s="28" t="s">
        <v>280</v>
      </c>
      <c r="B12" s="2" t="s">
        <v>281</v>
      </c>
      <c r="C12" s="29">
        <f>SUMPRODUCT((Applications!K2:K26 &lt; Applications!G2:G26) * (Applications!K2:K26 &lt;&gt; ""))</f>
        <v>0</v>
      </c>
      <c r="D12" s="29" t="str">
        <f t="shared" si="1"/>
        <v>PASS</v>
      </c>
      <c r="E12" s="30" t="s">
        <v>282</v>
      </c>
    </row>
    <row r="13">
      <c r="A13" s="28" t="s">
        <v>283</v>
      </c>
      <c r="B13" s="2" t="s">
        <v>284</v>
      </c>
      <c r="C13" s="29">
        <f>COUNTIF(Applications!K2:K26, "&gt;2026-10-25")</f>
        <v>0</v>
      </c>
      <c r="D13" s="29" t="str">
        <f t="shared" si="1"/>
        <v>PASS</v>
      </c>
      <c r="E13" s="30" t="s">
        <v>285</v>
      </c>
    </row>
    <row r="14">
      <c r="A14" s="28" t="s">
        <v>286</v>
      </c>
      <c r="B14" s="2" t="s">
        <v>287</v>
      </c>
      <c r="C14" s="29">
        <f>COUNTIFS(Applications!M2:M26, "OVERDUE", Applications!H2:H26, "&gt;=2026-10-25") + COUNTIFS(Applications!M2:M26, "OVERDUE", Applications!H2:H26, "")</f>
        <v>0</v>
      </c>
      <c r="D14" s="29" t="str">
        <f t="shared" si="1"/>
        <v>PASS</v>
      </c>
      <c r="E14" s="30" t="s">
        <v>288</v>
      </c>
    </row>
    <row r="15">
      <c r="A15" s="28" t="s">
        <v>289</v>
      </c>
      <c r="B15" s="2" t="s">
        <v>290</v>
      </c>
      <c r="C15" s="29">
        <f>COUNTIFS(Applications!D2:D26, "COMPLETED", Applications!M2:M26, "&lt;&gt;COMPLETED") + COUNTIFS(Applications!D2:D26, "REJECTED", Applications!M2:M26, "&lt;&gt;NO_ACTIVE_DEADLINE") + COUNTIFS(Applications!D2:D26, "DRAFT", Applications!M2:M26, "&lt;&gt;NO_ACTIVE_DEADLINE")</f>
        <v>0</v>
      </c>
      <c r="D15" s="29" t="str">
        <f t="shared" si="1"/>
        <v>PASS</v>
      </c>
      <c r="E15" s="30" t="s">
        <v>291</v>
      </c>
    </row>
    <row r="16">
      <c r="A16" s="28" t="s">
        <v>292</v>
      </c>
      <c r="B16" s="2" t="s">
        <v>293</v>
      </c>
      <c r="C16" s="29">
        <f>COUNTIF(Applications!L2:L26, "&lt;&gt;SYNTHETIC_DEMO") + COUNTIF(Applications!N2:N26, "&lt;&gt;2026-10-25")</f>
        <v>0</v>
      </c>
      <c r="D16" s="29" t="str">
        <f t="shared" si="1"/>
        <v>PASS</v>
      </c>
      <c r="E16" s="30" t="s">
        <v>294</v>
      </c>
    </row>
    <row r="17">
      <c r="A17" s="6" t="s">
        <v>295</v>
      </c>
      <c r="B17" s="6" t="s">
        <v>296</v>
      </c>
      <c r="C17" s="31">
        <f>SUM(C3:C16)</f>
        <v>0</v>
      </c>
      <c r="D17" s="29" t="str">
        <f t="shared" si="1"/>
        <v>PASS</v>
      </c>
      <c r="E17" s="6" t="s">
        <v>297</v>
      </c>
    </row>
    <row r="19">
      <c r="A19" s="2" t="s">
        <v>298</v>
      </c>
      <c r="B19" s="2" t="s">
        <v>299</v>
      </c>
    </row>
    <row r="20">
      <c r="A20" s="2" t="s">
        <v>300</v>
      </c>
      <c r="B20" s="2" t="s">
        <v>301</v>
      </c>
    </row>
    <row r="21">
      <c r="A21" s="2" t="s">
        <v>302</v>
      </c>
      <c r="B21" s="2" t="s">
        <v>303</v>
      </c>
    </row>
  </sheetData>
  <mergeCells count="1">
    <mergeCell ref="A1:E1"/>
  </mergeCells>
  <conditionalFormatting sqref="D3:D17">
    <cfRule type="cellIs" dxfId="1" priority="1" stopIfTrue="1" operator="equal">
      <formula>"PASS"</formula>
    </cfRule>
  </conditionalFormatting>
  <conditionalFormatting sqref="D3:D17">
    <cfRule type="cellIs" dxfId="0" priority="2" stopIfTrue="1" operator="equal">
      <formula>"FAIL"</formula>
    </cfRule>
  </conditionalFormatting>
  <drawing r:id="rId1"/>
</worksheet>
</file>