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ion_Summary" sheetId="1" r:id="rId5"/>
    <sheet state="visible" name="Selected_Institutions" sheetId="2" r:id="rId6"/>
    <sheet state="visible" name="Institution_ID_Mapping" sheetId="3" r:id="rId7"/>
    <sheet state="visible" name="Data_Dictionary" sheetId="4" r:id="rId8"/>
    <sheet state="visible" name="Validation_Report" sheetId="5" r:id="rId9"/>
  </sheets>
  <definedNames/>
  <calcPr/>
</workbook>
</file>

<file path=xl/sharedStrings.xml><?xml version="1.0" encoding="utf-8"?>
<sst xmlns="http://schemas.openxmlformats.org/spreadsheetml/2006/main" count="504" uniqueCount="262">
  <si>
    <t>sheet_name</t>
  </si>
  <si>
    <t>Institution_ID_Mapping</t>
  </si>
  <si>
    <t>column_name</t>
  </si>
  <si>
    <t>aishe_code</t>
  </si>
  <si>
    <t>data_type</t>
  </si>
  <si>
    <t>description</t>
  </si>
  <si>
    <t>Name</t>
  </si>
  <si>
    <t>example_value</t>
  </si>
  <si>
    <t>required</t>
  </si>
  <si>
    <t>allowed_values_or_format</t>
  </si>
  <si>
    <t>INST001</t>
  </si>
  <si>
    <t>source_or_rule</t>
  </si>
  <si>
    <t>notes</t>
  </si>
  <si>
    <t>State</t>
  </si>
  <si>
    <t>District</t>
  </si>
  <si>
    <t>Selected_Institutions</t>
  </si>
  <si>
    <t>Website</t>
  </si>
  <si>
    <t>C-44149</t>
  </si>
  <si>
    <t>Year Of Establishment</t>
  </si>
  <si>
    <t>string</t>
  </si>
  <si>
    <t>Aishabai College of Education</t>
  </si>
  <si>
    <t>Assigned synthetic unique identifier for integration</t>
  </si>
  <si>
    <t>Location</t>
  </si>
  <si>
    <t>INST002</t>
  </si>
  <si>
    <t>College Type</t>
  </si>
  <si>
    <t>Yes</t>
  </si>
  <si>
    <t>C-33827</t>
  </si>
  <si>
    <t>INST followed by 3 digits (INST001 - INST015)</t>
  </si>
  <si>
    <t>management</t>
  </si>
  <si>
    <t>Assigned integration ID</t>
  </si>
  <si>
    <t>Anjuman-I- Islam's, Akbar Peerbhoy College of Commerce &amp; Economics, Maulana Shaukat Ali Road,Do Taaki, Mumbai- 400 008</t>
  </si>
  <si>
    <t>Primary key assigned to uniquely identify selected records</t>
  </si>
  <si>
    <t>University Aishe Code</t>
  </si>
  <si>
    <t>INST003</t>
  </si>
  <si>
    <t>University Name</t>
  </si>
  <si>
    <t>C-41966</t>
  </si>
  <si>
    <t>University Type</t>
  </si>
  <si>
    <t>All India Survey on Higher Education unique institution code</t>
  </si>
  <si>
    <t>Abhinav Education Societys Law College, Pune</t>
  </si>
  <si>
    <t>INST004</t>
  </si>
  <si>
    <t>C- followed by numeric digits</t>
  </si>
  <si>
    <t>Original source value (AISHE directory)</t>
  </si>
  <si>
    <t>C-13870</t>
  </si>
  <si>
    <t>Official unique college identifier from central government directory</t>
  </si>
  <si>
    <t>Ashtang Ayurved Mahavidyalaya, Pune</t>
  </si>
  <si>
    <t>INST005</t>
  </si>
  <si>
    <t>Full registered name of higher education institution</t>
  </si>
  <si>
    <t>C-8881</t>
  </si>
  <si>
    <t>TAPI VALLEY EDUCATION SOCIETY'S DHANAJI NANA MAHAVIDYALAYA, FAIZPUR.</t>
  </si>
  <si>
    <t>Maharashtra</t>
  </si>
  <si>
    <t>Text string</t>
  </si>
  <si>
    <t>INST006</t>
  </si>
  <si>
    <t>Mumbai</t>
  </si>
  <si>
    <t>C-73330</t>
  </si>
  <si>
    <t>Institution legal name preserved verbatim from source directory</t>
  </si>
  <si>
    <t>Z I COLLEGE OF LAW</t>
  </si>
  <si>
    <t>Audit Metric</t>
  </si>
  <si>
    <t>INST007</t>
  </si>
  <si>
    <t>State or Union Territory where institution is located</t>
  </si>
  <si>
    <t>www.aishabaicollege.org</t>
  </si>
  <si>
    <t>C-60861</t>
  </si>
  <si>
    <t>Zydus Medical College and Hospital.</t>
  </si>
  <si>
    <t>Standard Indian State/UT name</t>
  </si>
  <si>
    <t>INST008</t>
  </si>
  <si>
    <t>C-556</t>
  </si>
  <si>
    <t>Geographic state classification from source directory</t>
  </si>
  <si>
    <t>Z. F. Wadia Womens College and N. K. Johta College of Commerce, Chorasi</t>
  </si>
  <si>
    <t>Administrative district where institution is located</t>
  </si>
  <si>
    <t>INST009</t>
  </si>
  <si>
    <t>District name</t>
  </si>
  <si>
    <t>C-75363</t>
  </si>
  <si>
    <t>Geographic district classification from source directory</t>
  </si>
  <si>
    <t>ZENITH ENGINEERING AND MANAGEMENT STUDIES</t>
  </si>
  <si>
    <t>INST010</t>
  </si>
  <si>
    <t>C-70882</t>
  </si>
  <si>
    <t>Official web address or URL of the institution</t>
  </si>
  <si>
    <t>ZENITH INSTITUTE OF NURSING SCIENCES</t>
  </si>
  <si>
    <t>INST011</t>
  </si>
  <si>
    <t>C-22532</t>
  </si>
  <si>
    <t>ZILA PARISHAD AGRICULTURE COLLEGE</t>
  </si>
  <si>
    <t>Target Specification</t>
  </si>
  <si>
    <t>INST012</t>
  </si>
  <si>
    <t>C-63904</t>
  </si>
  <si>
    <t>ZION INSTITUTE OF NURSING</t>
  </si>
  <si>
    <t>INST013</t>
  </si>
  <si>
    <t>C-17799</t>
  </si>
  <si>
    <t>Zubaida Womens Arts College, Shikaripura.</t>
  </si>
  <si>
    <t>INST014</t>
  </si>
  <si>
    <t>Achieved Metric</t>
  </si>
  <si>
    <t>C-18641</t>
  </si>
  <si>
    <t>Zulekha College of Commerce, Science and Technology</t>
  </si>
  <si>
    <t>INST015</t>
  </si>
  <si>
    <t>C-73128</t>
  </si>
  <si>
    <t>203-RAMESHWARAM INSTITUTE OF TECHNOLOGY AND MANAGEMENT</t>
  </si>
  <si>
    <t>Status</t>
  </si>
  <si>
    <t>**Total Selected Records**</t>
  </si>
  <si>
    <t>Exactly 15 distinct records</t>
  </si>
  <si>
    <t>15 records</t>
  </si>
  <si>
    <t>Passed</t>
  </si>
  <si>
    <t>**Duplicate AISHE Codes**</t>
  </si>
  <si>
    <t>0 duplicates</t>
  </si>
  <si>
    <t>0 duplicates (15 unique codes)</t>
  </si>
  <si>
    <t>Validation Check</t>
  </si>
  <si>
    <t>Target Criteria</t>
  </si>
  <si>
    <t>Observed Value</t>
  </si>
  <si>
    <t>**Duplicate Institution Names**</t>
  </si>
  <si>
    <t>No</t>
  </si>
  <si>
    <t>Valid URL, domain, or '-'</t>
  </si>
  <si>
    <t>Official web portal; '-' denotes missing or unrecorded website</t>
  </si>
  <si>
    <t>Formula / Methodology</t>
  </si>
  <si>
    <t>Discrepancy Details &amp; Action Required</t>
  </si>
  <si>
    <t>integer</t>
  </si>
  <si>
    <t>Calendar year when the institution was founded</t>
  </si>
  <si>
    <t>Record Count Audit</t>
  </si>
  <si>
    <t>0 duplicates (15 unique names)</t>
  </si>
  <si>
    <t>Exactly 15 selected institution records</t>
  </si>
  <si>
    <t>4-digit year (YYYY)</t>
  </si>
  <si>
    <t>Foundation year from source records</t>
  </si>
  <si>
    <t>Demographic classification of institution location</t>
  </si>
  <si>
    <t>Urban</t>
  </si>
  <si>
    <t>Urban, Rural</t>
  </si>
  <si>
    <t>Affiliated College</t>
  </si>
  <si>
    <t>**Pune Target (approx. 2)**</t>
  </si>
  <si>
    <t>Private Un-Aided</t>
  </si>
  <si>
    <t>Urban or rural classification from source directory</t>
  </si>
  <si>
    <t>U-0326</t>
  </si>
  <si>
    <t>SMT. NATHIBAI DAMODAR THACKERSEY WOMEN'S UNIVERSITY, MUMBAI</t>
  </si>
  <si>
    <t>2 institutions</t>
  </si>
  <si>
    <t>Institutional classification category</t>
  </si>
  <si>
    <t>State Public University</t>
  </si>
  <si>
    <t>Affiliated College, Constituent College, etc.</t>
  </si>
  <si>
    <t>2 institutions (`INST001`, `INST002`)</t>
  </si>
  <si>
    <t>Affiliation status from source directory</t>
  </si>
  <si>
    <t>Governance and funding management model</t>
  </si>
  <si>
    <t>Private Un-Aided, Private Aided (Government Aided), etc.</t>
  </si>
  <si>
    <t>Operational governance model from source directory</t>
  </si>
  <si>
    <t>www.apcollege.in</t>
  </si>
  <si>
    <t>AISHE code of affiliating university</t>
  </si>
  <si>
    <t>**Mumbai Target (approx. 2)**</t>
  </si>
  <si>
    <t>U- followed by numeric digits</t>
  </si>
  <si>
    <t>Affiliating parent university unique identifier</t>
  </si>
  <si>
    <t>Name of affiliating parent university</t>
  </si>
  <si>
    <t>2 institutions (`INST003`, `INST004`)</t>
  </si>
  <si>
    <t>Affiliating university name preserved verbatim</t>
  </si>
  <si>
    <t>Statutory governance type of affiliating university</t>
  </si>
  <si>
    <t>State Public University, Central University, etc.</t>
  </si>
  <si>
    <t>University legal classification from source directory</t>
  </si>
  <si>
    <t>**Delhi Target (approx. 2)**</t>
  </si>
  <si>
    <t>Explicit mapping primary key linking to selected institutions</t>
  </si>
  <si>
    <t>All India Survey on Higher Education unique code</t>
  </si>
  <si>
    <t>2 institutions (`INST005`, `INST006`)</t>
  </si>
  <si>
    <t>Target AISHE code matching selected institution records</t>
  </si>
  <si>
    <t>Full registered name of the institution</t>
  </si>
  <si>
    <t>Target institution name matching selected institution records</t>
  </si>
  <si>
    <t>Selection_Summary</t>
  </si>
  <si>
    <t>**Broader Geographic Reach**</t>
  </si>
  <si>
    <t>Sampling or validation metric evaluated</t>
  </si>
  <si>
    <t>Multi-state / regional variation</t>
  </si>
  <si>
    <t>Assigned integration summary specification</t>
  </si>
  <si>
    <t>Evaluation metric label from pre-existing summary</t>
  </si>
  <si>
    <t>Target requirement or quota for the selection metric</t>
  </si>
  <si>
    <t>9 other states/UTs (GJ, KA, AN, NL, MZ, UP, AP, OD, AR)</t>
  </si>
  <si>
    <t>Benchmark quota or criteria defined for institution selection</t>
  </si>
  <si>
    <t>Reported metric outcome in pre-existing summary</t>
  </si>
  <si>
    <t>Private Aided (Government Aided)</t>
  </si>
  <si>
    <t>U-0318</t>
  </si>
  <si>
    <t>University of Mumbai</t>
  </si>
  <si>
    <t>Original pre-existing summary text</t>
  </si>
  <si>
    <t>Reported outcome; verified against actual data in Validation_Report</t>
  </si>
  <si>
    <t>**Management Diversity**</t>
  </si>
  <si>
    <t>Compliance status stated in pre-existing summary</t>
  </si>
  <si>
    <t>Public, Private, Aided, Un-aided</t>
  </si>
  <si>
    <t>Passed, Failed, Review</t>
  </si>
  <si>
    <t>Original pre-existing summary evaluation</t>
  </si>
  <si>
    <t>Original status; audited against actual data in Validation_Report</t>
  </si>
  <si>
    <t>Pune</t>
  </si>
  <si>
    <t>Central Govt (2), State Govt (3), Private Aided (2), Private Un-Aided (8)</t>
  </si>
  <si>
    <t>https://www.abhinavlaw.org/</t>
  </si>
  <si>
    <t>Confirmed exactly 15 records present in Selected_Institutions.</t>
  </si>
  <si>
    <t>Institution ID Uniqueness &amp; Range</t>
  </si>
  <si>
    <t>Unique, non-blank, exactly INST001–INST015</t>
  </si>
  <si>
    <t>**Institutional Profiles**</t>
  </si>
  <si>
    <t>Diverse academic disciplines</t>
  </si>
  <si>
    <t>Medical, Engineering, Ayurveda, Nursing, Arts, Law, Management, Research</t>
  </si>
  <si>
    <t>**Women's Institutions**</t>
  </si>
  <si>
    <t>Identifiable &amp; verified</t>
  </si>
  <si>
    <t>2 institutions (`INST007`, `INST008`)</t>
  </si>
  <si>
    <t>All 15 institution IDs are non-blank, unique, and strictly formatted INST001–INST015.</t>
  </si>
  <si>
    <t>U-0323</t>
  </si>
  <si>
    <t>Savitribai Phule Pune University</t>
  </si>
  <si>
    <t>AISHE Code Uniqueness &amp; Completeness</t>
  </si>
  <si>
    <t>15 unique, non-blank original AISHE codes</t>
  </si>
  <si>
    <t>https://ashtangayurved.com/</t>
  </si>
  <si>
    <t>All 15 AISHE codes are populated and unique (zero duplicate codes).</t>
  </si>
  <si>
    <t>ID Mapping Fidelity to Source</t>
  </si>
  <si>
    <t>Institution_ID_Mapping AISHE codes &amp; Names match Selected_Institutions exactly</t>
  </si>
  <si>
    <t>U-0313</t>
  </si>
  <si>
    <t>Maharashtra University of Health Sciences, Nashik</t>
  </si>
  <si>
    <t>Jalgaon</t>
  </si>
  <si>
    <t>www.dnmfaizpur.org</t>
  </si>
  <si>
    <t>Rural</t>
  </si>
  <si>
    <t>U-0320</t>
  </si>
  <si>
    <t>Kavayitri Bahinabai Chaudhari North Maharashtra University, Jalgaon</t>
  </si>
  <si>
    <t>Uttar Pradesh</t>
  </si>
  <si>
    <t>Gorakhpur</t>
  </si>
  <si>
    <t>ZICOLLEGE.COM</t>
  </si>
  <si>
    <t>100% key and name fidelity verified between mapping table and source records.</t>
  </si>
  <si>
    <t>Selection Summary Geographic Audit</t>
  </si>
  <si>
    <t>Selection_Summary geographic counts (Pune: 2, Mumbai: 2, Delhi: 2, 9 States) match data</t>
  </si>
  <si>
    <t>U-0508</t>
  </si>
  <si>
    <t>Deen Dayal Upadhyaya Gorakhpur University, Gorakhpur</t>
  </si>
  <si>
    <t>Gujarat</t>
  </si>
  <si>
    <t>Dahod</t>
  </si>
  <si>
    <t>www.zmchdahod.org</t>
  </si>
  <si>
    <t>FAIL</t>
  </si>
  <si>
    <t>Direct reconciliation of Selection_Summary claims against Selected_Institutions records</t>
  </si>
  <si>
    <t>FAIL: Selection_Summary claims Delhi (2) and states AN, NL, MZ, AP. Actual data has 0 Delhi records and only 7 states total. Mumbai/Pune IDs are inverted in summary notes.</t>
  </si>
  <si>
    <t>Selection Summary Management &amp; Discipline Audit</t>
  </si>
  <si>
    <t>Selection_Summary management categories (Central: 2, State: 3, Aided: 2, Un-Aided: 8) &amp; Women's count match data</t>
  </si>
  <si>
    <t>U-0782</t>
  </si>
  <si>
    <t>SHRI GOVIND GURU UNIVERSITY</t>
  </si>
  <si>
    <t>Surat</t>
  </si>
  <si>
    <t>www.wadiacollegesurat.org</t>
  </si>
  <si>
    <t>FAIL: Selection_Summary claims Central Govt (2), State Govt (3), Private Aided (2), Private Un-Aided (8). Actual data contains Private Un-Aided (11), Private Aided (4), Central/State Govt (0). Also claims INST007 is women's college, but INST007 is Zydus Medical College.</t>
  </si>
  <si>
    <t>Overall Audit Status</t>
  </si>
  <si>
    <t>All data fidelity and summary reconciliation checks PASS</t>
  </si>
  <si>
    <t>U-0153</t>
  </si>
  <si>
    <t>Veer Narmad South Gujarat University, Surat</t>
  </si>
  <si>
    <t>Odisha</t>
  </si>
  <si>
    <t>Khordha</t>
  </si>
  <si>
    <t>https://zemsbbsr.edu.in/</t>
  </si>
  <si>
    <t>Selected institution records and ID mappings are 100% verified. Discrepancies exist exclusively in pre-existing Selection_Summary narrative.</t>
  </si>
  <si>
    <t>U-0351</t>
  </si>
  <si>
    <t>Biju Patnaik University of Technology, Rourkela</t>
  </si>
  <si>
    <t>West Bengal</t>
  </si>
  <si>
    <t>North 24 Parganas</t>
  </si>
  <si>
    <t>www.zenithinstitut.org.in</t>
  </si>
  <si>
    <t>U-0586</t>
  </si>
  <si>
    <t>The West Bengal University of Health Sciences, Kolkata</t>
  </si>
  <si>
    <t>Banda</t>
  </si>
  <si>
    <t>www.zpkmvbanda.org.in</t>
  </si>
  <si>
    <t>U-0502</t>
  </si>
  <si>
    <t>Bundelkhand University,  Jhansi</t>
  </si>
  <si>
    <t>Arunachal Pradesh</t>
  </si>
  <si>
    <t>Papum Pare</t>
  </si>
  <si>
    <t>www.zioninstitute.org</t>
  </si>
  <si>
    <t>U-0047</t>
  </si>
  <si>
    <t>Rajiv Gandhi University, Itanagar</t>
  </si>
  <si>
    <t>Central University</t>
  </si>
  <si>
    <t>Karnataka</t>
  </si>
  <si>
    <t>Shivamogga</t>
  </si>
  <si>
    <t>-</t>
  </si>
  <si>
    <t>U-0232</t>
  </si>
  <si>
    <t>Kuvempu University, Shankaraghatta, Shimoga</t>
  </si>
  <si>
    <t>Nagpur</t>
  </si>
  <si>
    <t>www.zulekhacollege.org</t>
  </si>
  <si>
    <t>U-0332</t>
  </si>
  <si>
    <t>Rashtrasant Tukadoji Maharaj Nagpur University, Nagpur</t>
  </si>
  <si>
    <t>Lucknow</t>
  </si>
  <si>
    <t>www.ritm.in</t>
  </si>
  <si>
    <t>U-0549</t>
  </si>
  <si>
    <t>Dr.A.P.J. ABDUL KALAM TECHNICAL UNIVERSITY ,LUCKNOW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</si>
</sst>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DEFF4"/>
        <bgColor rgb="FFEDEFF4"/>
      </patternFill>
    </fill>
    <fill>
      <patternFill patternType="solid">
        <fgColor rgb="FFF4F4F4"/>
        <bgColor rgb="FFF4F4F4"/>
      </patternFill>
    </fill>
  </fills>
  <borders count="3">
    <border/>
    <border>
      <bottom style="thin">
        <color rgb="FFB2B2B2"/>
      </bottom>
    </border>
    <border>
      <top style="thin">
        <color rgb="FFB2B2B2"/>
      </top>
      <bottom style="double">
        <color rgb="FF7F7F7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2" fillId="3" fontId="1" numFmtId="0" xfId="0" applyAlignment="1" applyBorder="1" applyFill="1" applyFont="1">
      <alignment readingOrder="0"/>
    </xf>
    <xf borderId="2" fillId="3" fontId="1" numFmtId="0" xfId="0" applyBorder="1" applyFill="1" applyFont="1"/>
    <xf borderId="2" fillId="3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147233"/>
      </font>
      <fill>
        <patternFill patternType="solid">
          <fgColor rgb="FFD8EFD8"/>
          <bgColor rgb="FFD8EFD8"/>
        </patternFill>
      </fill>
      <border/>
    </dxf>
    <dxf>
      <font>
        <b/>
        <color rgb="FFB21919"/>
      </font>
      <fill>
        <patternFill patternType="solid">
          <fgColor rgb="FFF9DBDB"/>
          <bgColor rgb="FFF9DBDB"/>
        </patternFill>
      </fill>
      <border/>
    </dxf>
  </dxfs>
  <tableStyles count="1">
    <tableStyle count="4" pivot="0" name="Selection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Audit Metric" id="1"/>
    <tableColumn name="Target Specification" id="2"/>
    <tableColumn name="Achieved Metric" id="3"/>
    <tableColumn name="Status" id="4"/>
  </tableColumns>
  <tableStyleInfo name="Selection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zpkmvbanda.org.in" TargetMode="External"/><Relationship Id="rId10" Type="http://schemas.openxmlformats.org/officeDocument/2006/relationships/hyperlink" Target="http://www.zenithinstitut.org.in" TargetMode="External"/><Relationship Id="rId13" Type="http://schemas.openxmlformats.org/officeDocument/2006/relationships/hyperlink" Target="http://www.zulekhacollege.org" TargetMode="External"/><Relationship Id="rId12" Type="http://schemas.openxmlformats.org/officeDocument/2006/relationships/hyperlink" Target="http://www.zioninstitute.org" TargetMode="External"/><Relationship Id="rId1" Type="http://schemas.openxmlformats.org/officeDocument/2006/relationships/hyperlink" Target="http://www.aishabaicollege.org" TargetMode="External"/><Relationship Id="rId2" Type="http://schemas.openxmlformats.org/officeDocument/2006/relationships/hyperlink" Target="http://www.apcollege.in" TargetMode="External"/><Relationship Id="rId3" Type="http://schemas.openxmlformats.org/officeDocument/2006/relationships/hyperlink" Target="https://www.abhinavlaw.org/" TargetMode="External"/><Relationship Id="rId4" Type="http://schemas.openxmlformats.org/officeDocument/2006/relationships/hyperlink" Target="https://ashtangayurved.com/" TargetMode="External"/><Relationship Id="rId9" Type="http://schemas.openxmlformats.org/officeDocument/2006/relationships/hyperlink" Target="https://zemsbbsr.edu.in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://www.ritm.in" TargetMode="External"/><Relationship Id="rId5" Type="http://schemas.openxmlformats.org/officeDocument/2006/relationships/hyperlink" Target="http://www.dnmfaizpur.org" TargetMode="External"/><Relationship Id="rId6" Type="http://schemas.openxmlformats.org/officeDocument/2006/relationships/hyperlink" Target="http://zicollege.com" TargetMode="External"/><Relationship Id="rId7" Type="http://schemas.openxmlformats.org/officeDocument/2006/relationships/hyperlink" Target="http://www.zmchdahod.org" TargetMode="External"/><Relationship Id="rId8" Type="http://schemas.openxmlformats.org/officeDocument/2006/relationships/hyperlink" Target="http://www.wadiacollegesurat.or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aishabaicollege.or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30.43"/>
    <col customWidth="1" min="3" max="3" width="41.71"/>
    <col customWidth="1" min="4" max="4" width="9.29"/>
  </cols>
  <sheetData>
    <row r="1" ht="22.5" customHeight="1">
      <c r="A1" s="6" t="s">
        <v>56</v>
      </c>
      <c r="B1" s="6" t="s">
        <v>80</v>
      </c>
      <c r="C1" s="7" t="s">
        <v>88</v>
      </c>
      <c r="D1" s="6" t="s">
        <v>94</v>
      </c>
    </row>
    <row r="2" ht="22.5" customHeight="1">
      <c r="A2" s="8" t="s">
        <v>95</v>
      </c>
      <c r="B2" s="8" t="s">
        <v>96</v>
      </c>
      <c r="C2" s="9" t="s">
        <v>97</v>
      </c>
      <c r="D2" s="8" t="s">
        <v>98</v>
      </c>
    </row>
    <row r="3" ht="22.5" customHeight="1">
      <c r="A3" s="8" t="s">
        <v>99</v>
      </c>
      <c r="B3" s="8" t="s">
        <v>100</v>
      </c>
      <c r="C3" s="9" t="s">
        <v>101</v>
      </c>
      <c r="D3" s="8" t="s">
        <v>98</v>
      </c>
    </row>
    <row r="4" ht="22.5" customHeight="1">
      <c r="A4" s="8" t="s">
        <v>105</v>
      </c>
      <c r="B4" s="8" t="s">
        <v>100</v>
      </c>
      <c r="C4" s="9" t="s">
        <v>114</v>
      </c>
      <c r="D4" s="8" t="s">
        <v>98</v>
      </c>
    </row>
    <row r="5" ht="22.5" customHeight="1">
      <c r="A5" s="8" t="s">
        <v>122</v>
      </c>
      <c r="B5" s="8" t="s">
        <v>127</v>
      </c>
      <c r="C5" s="9" t="s">
        <v>131</v>
      </c>
      <c r="D5" s="8" t="s">
        <v>98</v>
      </c>
    </row>
    <row r="6" ht="22.5" customHeight="1">
      <c r="A6" s="8" t="s">
        <v>138</v>
      </c>
      <c r="B6" s="8" t="s">
        <v>127</v>
      </c>
      <c r="C6" s="9" t="s">
        <v>142</v>
      </c>
      <c r="D6" s="8" t="s">
        <v>98</v>
      </c>
    </row>
    <row r="7" ht="22.5" customHeight="1">
      <c r="A7" s="8" t="s">
        <v>147</v>
      </c>
      <c r="B7" s="8" t="s">
        <v>127</v>
      </c>
      <c r="C7" s="9" t="s">
        <v>150</v>
      </c>
      <c r="D7" s="8" t="s">
        <v>98</v>
      </c>
    </row>
    <row r="8" ht="22.5" customHeight="1">
      <c r="A8" s="8" t="s">
        <v>155</v>
      </c>
      <c r="B8" s="8" t="s">
        <v>157</v>
      </c>
      <c r="C8" s="9" t="s">
        <v>161</v>
      </c>
      <c r="D8" s="8" t="s">
        <v>98</v>
      </c>
    </row>
    <row r="9" ht="22.5" customHeight="1">
      <c r="A9" s="8" t="s">
        <v>169</v>
      </c>
      <c r="B9" s="8" t="s">
        <v>171</v>
      </c>
      <c r="C9" s="9" t="s">
        <v>176</v>
      </c>
      <c r="D9" s="8" t="s">
        <v>98</v>
      </c>
    </row>
    <row r="10" ht="22.5" customHeight="1">
      <c r="A10" s="8" t="s">
        <v>181</v>
      </c>
      <c r="B10" s="8" t="s">
        <v>182</v>
      </c>
      <c r="C10" s="9" t="s">
        <v>183</v>
      </c>
      <c r="D10" s="8" t="s">
        <v>98</v>
      </c>
    </row>
    <row r="11" ht="22.5" customHeight="1">
      <c r="A11" s="8" t="s">
        <v>184</v>
      </c>
      <c r="B11" s="8" t="s">
        <v>185</v>
      </c>
      <c r="C11" s="9" t="s">
        <v>186</v>
      </c>
      <c r="D11" s="8" t="s">
        <v>98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1.43"/>
    <col customWidth="1" min="3" max="3" width="115.14"/>
    <col customWidth="1" min="4" max="4" width="18.29"/>
    <col customWidth="1" min="5" max="5" width="18.14"/>
    <col customWidth="1" min="6" max="6" width="27.57"/>
    <col customWidth="1" min="7" max="7" width="21.43"/>
    <col customWidth="1" min="8" max="8" width="9.0"/>
    <col customWidth="1" min="9" max="9" width="16.57"/>
    <col customWidth="1" min="10" max="10" width="31.86"/>
    <col customWidth="1" min="11" max="11" width="21.29"/>
    <col customWidth="1" min="12" max="12" width="68.71"/>
    <col customWidth="1" min="13" max="13" width="21.29"/>
  </cols>
  <sheetData>
    <row r="1">
      <c r="A1" s="2" t="s">
        <v>1</v>
      </c>
      <c r="B1" s="2" t="s">
        <v>3</v>
      </c>
      <c r="C1" s="3" t="s">
        <v>6</v>
      </c>
      <c r="D1" s="3" t="s">
        <v>13</v>
      </c>
      <c r="E1" s="3" t="s">
        <v>14</v>
      </c>
      <c r="F1" s="3" t="s">
        <v>16</v>
      </c>
      <c r="G1" s="3" t="s">
        <v>18</v>
      </c>
      <c r="H1" s="3" t="s">
        <v>22</v>
      </c>
      <c r="I1" s="3" t="s">
        <v>24</v>
      </c>
      <c r="J1" s="2" t="s">
        <v>28</v>
      </c>
      <c r="K1" s="3" t="s">
        <v>32</v>
      </c>
      <c r="L1" s="3" t="s">
        <v>34</v>
      </c>
      <c r="M1" s="3" t="s">
        <v>36</v>
      </c>
    </row>
    <row r="2">
      <c r="A2" s="4" t="s">
        <v>10</v>
      </c>
      <c r="B2" s="4" t="s">
        <v>17</v>
      </c>
      <c r="C2" s="4" t="s">
        <v>20</v>
      </c>
      <c r="D2" s="4" t="s">
        <v>49</v>
      </c>
      <c r="E2" s="4" t="s">
        <v>52</v>
      </c>
      <c r="F2" s="11" t="s">
        <v>59</v>
      </c>
      <c r="G2" s="4">
        <v>2005.0</v>
      </c>
      <c r="H2" s="4" t="s">
        <v>119</v>
      </c>
      <c r="I2" s="4" t="s">
        <v>121</v>
      </c>
      <c r="J2" s="4" t="s">
        <v>123</v>
      </c>
      <c r="K2" s="4" t="s">
        <v>125</v>
      </c>
      <c r="L2" s="4" t="s">
        <v>126</v>
      </c>
      <c r="M2" s="4" t="s">
        <v>129</v>
      </c>
    </row>
    <row r="3">
      <c r="A3" s="4" t="s">
        <v>23</v>
      </c>
      <c r="B3" s="4" t="s">
        <v>26</v>
      </c>
      <c r="C3" s="4" t="s">
        <v>30</v>
      </c>
      <c r="D3" s="4" t="s">
        <v>49</v>
      </c>
      <c r="E3" s="4" t="s">
        <v>52</v>
      </c>
      <c r="F3" s="11" t="s">
        <v>136</v>
      </c>
      <c r="G3" s="4">
        <v>1969.0</v>
      </c>
      <c r="H3" s="4" t="s">
        <v>119</v>
      </c>
      <c r="I3" s="4" t="s">
        <v>121</v>
      </c>
      <c r="J3" s="4" t="s">
        <v>164</v>
      </c>
      <c r="K3" s="4" t="s">
        <v>165</v>
      </c>
      <c r="L3" s="4" t="s">
        <v>166</v>
      </c>
      <c r="M3" s="4" t="s">
        <v>129</v>
      </c>
    </row>
    <row r="4">
      <c r="A4" s="4" t="s">
        <v>33</v>
      </c>
      <c r="B4" s="4" t="s">
        <v>35</v>
      </c>
      <c r="C4" s="4" t="s">
        <v>38</v>
      </c>
      <c r="D4" s="4" t="s">
        <v>49</v>
      </c>
      <c r="E4" s="4" t="s">
        <v>175</v>
      </c>
      <c r="F4" s="11" t="s">
        <v>177</v>
      </c>
      <c r="G4" s="4">
        <v>2004.0</v>
      </c>
      <c r="H4" s="4" t="s">
        <v>119</v>
      </c>
      <c r="I4" s="4" t="s">
        <v>121</v>
      </c>
      <c r="J4" s="4" t="s">
        <v>123</v>
      </c>
      <c r="K4" s="4" t="s">
        <v>188</v>
      </c>
      <c r="L4" s="4" t="s">
        <v>189</v>
      </c>
      <c r="M4" s="4" t="s">
        <v>129</v>
      </c>
    </row>
    <row r="5">
      <c r="A5" s="4" t="s">
        <v>39</v>
      </c>
      <c r="B5" s="4" t="s">
        <v>42</v>
      </c>
      <c r="C5" s="4" t="s">
        <v>44</v>
      </c>
      <c r="D5" s="4" t="s">
        <v>49</v>
      </c>
      <c r="E5" s="4" t="s">
        <v>175</v>
      </c>
      <c r="F5" s="11" t="s">
        <v>192</v>
      </c>
      <c r="G5" s="4">
        <v>1936.0</v>
      </c>
      <c r="H5" s="4" t="s">
        <v>119</v>
      </c>
      <c r="I5" s="4" t="s">
        <v>121</v>
      </c>
      <c r="J5" s="4" t="s">
        <v>164</v>
      </c>
      <c r="K5" s="4" t="s">
        <v>196</v>
      </c>
      <c r="L5" s="4" t="s">
        <v>197</v>
      </c>
      <c r="M5" s="4" t="s">
        <v>129</v>
      </c>
    </row>
    <row r="6">
      <c r="A6" s="4" t="s">
        <v>45</v>
      </c>
      <c r="B6" s="4" t="s">
        <v>47</v>
      </c>
      <c r="C6" s="4" t="s">
        <v>48</v>
      </c>
      <c r="D6" s="4" t="s">
        <v>49</v>
      </c>
      <c r="E6" s="4" t="s">
        <v>198</v>
      </c>
      <c r="F6" s="11" t="s">
        <v>199</v>
      </c>
      <c r="G6" s="4">
        <v>1961.0</v>
      </c>
      <c r="H6" s="4" t="s">
        <v>200</v>
      </c>
      <c r="I6" s="4" t="s">
        <v>121</v>
      </c>
      <c r="J6" s="4" t="s">
        <v>164</v>
      </c>
      <c r="K6" s="4" t="s">
        <v>201</v>
      </c>
      <c r="L6" s="4" t="s">
        <v>202</v>
      </c>
      <c r="M6" s="4" t="s">
        <v>129</v>
      </c>
    </row>
    <row r="7">
      <c r="A7" s="4" t="s">
        <v>51</v>
      </c>
      <c r="B7" s="4" t="s">
        <v>53</v>
      </c>
      <c r="C7" s="4" t="s">
        <v>55</v>
      </c>
      <c r="D7" s="4" t="s">
        <v>203</v>
      </c>
      <c r="E7" s="4" t="s">
        <v>204</v>
      </c>
      <c r="F7" s="11" t="s">
        <v>205</v>
      </c>
      <c r="G7" s="4">
        <v>2024.0</v>
      </c>
      <c r="H7" s="4" t="s">
        <v>200</v>
      </c>
      <c r="I7" s="4" t="s">
        <v>121</v>
      </c>
      <c r="J7" s="4" t="s">
        <v>123</v>
      </c>
      <c r="K7" s="4" t="s">
        <v>209</v>
      </c>
      <c r="L7" s="4" t="s">
        <v>210</v>
      </c>
      <c r="M7" s="4" t="s">
        <v>129</v>
      </c>
    </row>
    <row r="8">
      <c r="A8" s="4" t="s">
        <v>57</v>
      </c>
      <c r="B8" s="4" t="s">
        <v>60</v>
      </c>
      <c r="C8" s="4" t="s">
        <v>61</v>
      </c>
      <c r="D8" s="4" t="s">
        <v>211</v>
      </c>
      <c r="E8" s="4" t="s">
        <v>212</v>
      </c>
      <c r="F8" s="11" t="s">
        <v>213</v>
      </c>
      <c r="G8" s="4">
        <v>2017.0</v>
      </c>
      <c r="H8" s="4" t="s">
        <v>200</v>
      </c>
      <c r="I8" s="4" t="s">
        <v>121</v>
      </c>
      <c r="J8" s="4" t="s">
        <v>123</v>
      </c>
      <c r="K8" s="4" t="s">
        <v>219</v>
      </c>
      <c r="L8" s="4" t="s">
        <v>220</v>
      </c>
      <c r="M8" s="4" t="s">
        <v>129</v>
      </c>
    </row>
    <row r="9">
      <c r="A9" s="4" t="s">
        <v>63</v>
      </c>
      <c r="B9" s="4" t="s">
        <v>64</v>
      </c>
      <c r="C9" s="4" t="s">
        <v>66</v>
      </c>
      <c r="D9" s="4" t="s">
        <v>211</v>
      </c>
      <c r="E9" s="4" t="s">
        <v>221</v>
      </c>
      <c r="F9" s="11" t="s">
        <v>222</v>
      </c>
      <c r="G9" s="4">
        <v>1951.0</v>
      </c>
      <c r="H9" s="4" t="s">
        <v>119</v>
      </c>
      <c r="I9" s="4" t="s">
        <v>121</v>
      </c>
      <c r="J9" s="4" t="s">
        <v>164</v>
      </c>
      <c r="K9" s="4" t="s">
        <v>226</v>
      </c>
      <c r="L9" s="4" t="s">
        <v>227</v>
      </c>
      <c r="M9" s="4" t="s">
        <v>129</v>
      </c>
    </row>
    <row r="10">
      <c r="A10" s="4" t="s">
        <v>68</v>
      </c>
      <c r="B10" s="4" t="s">
        <v>70</v>
      </c>
      <c r="C10" s="4" t="s">
        <v>72</v>
      </c>
      <c r="D10" s="4" t="s">
        <v>228</v>
      </c>
      <c r="E10" s="4" t="s">
        <v>229</v>
      </c>
      <c r="F10" s="11" t="s">
        <v>230</v>
      </c>
      <c r="G10" s="4">
        <v>2025.0</v>
      </c>
      <c r="H10" s="4" t="s">
        <v>119</v>
      </c>
      <c r="I10" s="4" t="s">
        <v>121</v>
      </c>
      <c r="J10" s="4" t="s">
        <v>123</v>
      </c>
      <c r="K10" s="4" t="s">
        <v>232</v>
      </c>
      <c r="L10" s="4" t="s">
        <v>233</v>
      </c>
      <c r="M10" s="4" t="s">
        <v>129</v>
      </c>
    </row>
    <row r="11">
      <c r="A11" s="4" t="s">
        <v>73</v>
      </c>
      <c r="B11" s="4" t="s">
        <v>74</v>
      </c>
      <c r="C11" s="4" t="s">
        <v>76</v>
      </c>
      <c r="D11" s="4" t="s">
        <v>234</v>
      </c>
      <c r="E11" s="4" t="s">
        <v>235</v>
      </c>
      <c r="F11" s="11" t="s">
        <v>236</v>
      </c>
      <c r="G11" s="4">
        <v>2023.0</v>
      </c>
      <c r="H11" s="4" t="s">
        <v>119</v>
      </c>
      <c r="I11" s="4" t="s">
        <v>121</v>
      </c>
      <c r="J11" s="4" t="s">
        <v>123</v>
      </c>
      <c r="K11" s="4" t="s">
        <v>237</v>
      </c>
      <c r="L11" s="4" t="s">
        <v>238</v>
      </c>
      <c r="M11" s="4" t="s">
        <v>129</v>
      </c>
    </row>
    <row r="12">
      <c r="A12" s="4" t="s">
        <v>77</v>
      </c>
      <c r="B12" s="4" t="s">
        <v>78</v>
      </c>
      <c r="C12" s="4" t="s">
        <v>79</v>
      </c>
      <c r="D12" s="4" t="s">
        <v>203</v>
      </c>
      <c r="E12" s="4" t="s">
        <v>239</v>
      </c>
      <c r="F12" s="11" t="s">
        <v>240</v>
      </c>
      <c r="G12" s="4">
        <v>1994.0</v>
      </c>
      <c r="H12" s="4" t="s">
        <v>119</v>
      </c>
      <c r="I12" s="4" t="s">
        <v>121</v>
      </c>
      <c r="J12" s="4" t="s">
        <v>123</v>
      </c>
      <c r="K12" s="4" t="s">
        <v>241</v>
      </c>
      <c r="L12" s="4" t="s">
        <v>242</v>
      </c>
      <c r="M12" s="4" t="s">
        <v>129</v>
      </c>
    </row>
    <row r="13">
      <c r="A13" s="4" t="s">
        <v>81</v>
      </c>
      <c r="B13" s="4" t="s">
        <v>82</v>
      </c>
      <c r="C13" s="4" t="s">
        <v>83</v>
      </c>
      <c r="D13" s="4" t="s">
        <v>243</v>
      </c>
      <c r="E13" s="4" t="s">
        <v>244</v>
      </c>
      <c r="F13" s="11" t="s">
        <v>245</v>
      </c>
      <c r="G13" s="4">
        <v>2013.0</v>
      </c>
      <c r="H13" s="4" t="s">
        <v>119</v>
      </c>
      <c r="I13" s="4" t="s">
        <v>121</v>
      </c>
      <c r="J13" s="4" t="s">
        <v>123</v>
      </c>
      <c r="K13" s="4" t="s">
        <v>246</v>
      </c>
      <c r="L13" s="4" t="s">
        <v>247</v>
      </c>
      <c r="M13" s="4" t="s">
        <v>248</v>
      </c>
    </row>
    <row r="14">
      <c r="A14" s="4" t="s">
        <v>84</v>
      </c>
      <c r="B14" s="4" t="s">
        <v>85</v>
      </c>
      <c r="C14" s="4" t="s">
        <v>86</v>
      </c>
      <c r="D14" s="4" t="s">
        <v>249</v>
      </c>
      <c r="E14" s="4" t="s">
        <v>250</v>
      </c>
      <c r="F14" s="4" t="s">
        <v>251</v>
      </c>
      <c r="G14" s="4">
        <v>2005.0</v>
      </c>
      <c r="H14" s="4" t="s">
        <v>119</v>
      </c>
      <c r="I14" s="4" t="s">
        <v>121</v>
      </c>
      <c r="J14" s="4" t="s">
        <v>123</v>
      </c>
      <c r="K14" s="4" t="s">
        <v>252</v>
      </c>
      <c r="L14" s="4" t="s">
        <v>253</v>
      </c>
      <c r="M14" s="4" t="s">
        <v>129</v>
      </c>
    </row>
    <row r="15">
      <c r="A15" s="4" t="s">
        <v>87</v>
      </c>
      <c r="B15" s="4" t="s">
        <v>89</v>
      </c>
      <c r="C15" s="4" t="s">
        <v>90</v>
      </c>
      <c r="D15" s="4" t="s">
        <v>49</v>
      </c>
      <c r="E15" s="4" t="s">
        <v>254</v>
      </c>
      <c r="F15" s="11" t="s">
        <v>255</v>
      </c>
      <c r="G15" s="4">
        <v>2008.0</v>
      </c>
      <c r="H15" s="4" t="s">
        <v>119</v>
      </c>
      <c r="I15" s="4" t="s">
        <v>121</v>
      </c>
      <c r="J15" s="4" t="s">
        <v>123</v>
      </c>
      <c r="K15" s="4" t="s">
        <v>256</v>
      </c>
      <c r="L15" s="4" t="s">
        <v>257</v>
      </c>
      <c r="M15" s="4" t="s">
        <v>129</v>
      </c>
    </row>
    <row r="16">
      <c r="A16" s="4" t="s">
        <v>91</v>
      </c>
      <c r="B16" s="4" t="s">
        <v>92</v>
      </c>
      <c r="C16" s="4" t="s">
        <v>93</v>
      </c>
      <c r="D16" s="4" t="s">
        <v>203</v>
      </c>
      <c r="E16" s="4" t="s">
        <v>258</v>
      </c>
      <c r="F16" s="11" t="s">
        <v>259</v>
      </c>
      <c r="G16" s="4">
        <v>2005.0</v>
      </c>
      <c r="H16" s="4" t="s">
        <v>119</v>
      </c>
      <c r="I16" s="4" t="s">
        <v>121</v>
      </c>
      <c r="J16" s="4" t="s">
        <v>123</v>
      </c>
      <c r="K16" s="4" t="s">
        <v>260</v>
      </c>
      <c r="L16" s="4" t="s">
        <v>261</v>
      </c>
      <c r="M16" s="4" t="s">
        <v>129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5"/>
    <hyperlink r:id="rId14" ref="F16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1.43"/>
    <col customWidth="1" min="3" max="3" width="115.14"/>
  </cols>
  <sheetData>
    <row r="1">
      <c r="A1" s="1" t="s">
        <v>1</v>
      </c>
      <c r="B1" s="1" t="s">
        <v>3</v>
      </c>
      <c r="C1" s="1" t="s">
        <v>6</v>
      </c>
    </row>
    <row r="2">
      <c r="A2" s="4" t="s">
        <v>10</v>
      </c>
      <c r="B2" s="4" t="s">
        <v>17</v>
      </c>
      <c r="C2" s="4" t="s">
        <v>20</v>
      </c>
    </row>
    <row r="3">
      <c r="A3" s="4" t="s">
        <v>23</v>
      </c>
      <c r="B3" s="4" t="s">
        <v>26</v>
      </c>
      <c r="C3" s="4" t="s">
        <v>30</v>
      </c>
    </row>
    <row r="4">
      <c r="A4" s="4" t="s">
        <v>33</v>
      </c>
      <c r="B4" s="4" t="s">
        <v>35</v>
      </c>
      <c r="C4" s="4" t="s">
        <v>38</v>
      </c>
    </row>
    <row r="5">
      <c r="A5" s="4" t="s">
        <v>39</v>
      </c>
      <c r="B5" s="4" t="s">
        <v>42</v>
      </c>
      <c r="C5" s="4" t="s">
        <v>44</v>
      </c>
    </row>
    <row r="6">
      <c r="A6" s="4" t="s">
        <v>45</v>
      </c>
      <c r="B6" s="4" t="s">
        <v>47</v>
      </c>
      <c r="C6" s="4" t="s">
        <v>48</v>
      </c>
    </row>
    <row r="7">
      <c r="A7" s="4" t="s">
        <v>51</v>
      </c>
      <c r="B7" s="4" t="s">
        <v>53</v>
      </c>
      <c r="C7" s="4" t="s">
        <v>55</v>
      </c>
    </row>
    <row r="8">
      <c r="A8" s="4" t="s">
        <v>57</v>
      </c>
      <c r="B8" s="4" t="s">
        <v>60</v>
      </c>
      <c r="C8" s="4" t="s">
        <v>61</v>
      </c>
    </row>
    <row r="9">
      <c r="A9" s="4" t="s">
        <v>63</v>
      </c>
      <c r="B9" s="4" t="s">
        <v>64</v>
      </c>
      <c r="C9" s="4" t="s">
        <v>66</v>
      </c>
    </row>
    <row r="10">
      <c r="A10" s="4" t="s">
        <v>68</v>
      </c>
      <c r="B10" s="4" t="s">
        <v>70</v>
      </c>
      <c r="C10" s="4" t="s">
        <v>72</v>
      </c>
    </row>
    <row r="11">
      <c r="A11" s="4" t="s">
        <v>73</v>
      </c>
      <c r="B11" s="4" t="s">
        <v>74</v>
      </c>
      <c r="C11" s="4" t="s">
        <v>76</v>
      </c>
    </row>
    <row r="12">
      <c r="A12" s="4" t="s">
        <v>77</v>
      </c>
      <c r="B12" s="4" t="s">
        <v>78</v>
      </c>
      <c r="C12" s="4" t="s">
        <v>79</v>
      </c>
    </row>
    <row r="13">
      <c r="A13" s="4" t="s">
        <v>81</v>
      </c>
      <c r="B13" s="4" t="s">
        <v>82</v>
      </c>
      <c r="C13" s="4" t="s">
        <v>83</v>
      </c>
    </row>
    <row r="14">
      <c r="A14" s="4" t="s">
        <v>84</v>
      </c>
      <c r="B14" s="4" t="s">
        <v>85</v>
      </c>
      <c r="C14" s="4" t="s">
        <v>86</v>
      </c>
    </row>
    <row r="15">
      <c r="A15" s="4" t="s">
        <v>87</v>
      </c>
      <c r="B15" s="4" t="s">
        <v>89</v>
      </c>
      <c r="C15" s="4" t="s">
        <v>90</v>
      </c>
    </row>
    <row r="16">
      <c r="A16" s="4" t="s">
        <v>91</v>
      </c>
      <c r="B16" s="4" t="s">
        <v>92</v>
      </c>
      <c r="C16" s="4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4.0"/>
    <col customWidth="1" min="3" max="3" width="10.0"/>
    <col customWidth="1" min="4" max="4" width="14.86"/>
    <col customWidth="1" min="5" max="5" width="14.71"/>
    <col customWidth="1" min="6" max="6" width="8.71"/>
    <col customWidth="1" min="7" max="7" width="25.0"/>
    <col customWidth="1" min="8" max="8" width="14.57"/>
    <col customWidth="1" min="9" max="9" width="15.0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</row>
    <row r="2">
      <c r="A2" s="5" t="s">
        <v>15</v>
      </c>
      <c r="B2" s="5" t="s">
        <v>1</v>
      </c>
      <c r="C2" s="5" t="s">
        <v>19</v>
      </c>
      <c r="D2" s="5" t="s">
        <v>21</v>
      </c>
      <c r="E2" s="5" t="s">
        <v>10</v>
      </c>
      <c r="F2" s="5" t="s">
        <v>25</v>
      </c>
      <c r="G2" s="5" t="s">
        <v>27</v>
      </c>
      <c r="H2" s="5" t="s">
        <v>29</v>
      </c>
      <c r="I2" s="5" t="s">
        <v>31</v>
      </c>
    </row>
    <row r="3">
      <c r="A3" s="5" t="s">
        <v>15</v>
      </c>
      <c r="B3" s="5" t="s">
        <v>3</v>
      </c>
      <c r="C3" s="5" t="s">
        <v>19</v>
      </c>
      <c r="D3" s="5" t="s">
        <v>37</v>
      </c>
      <c r="E3" s="5" t="s">
        <v>17</v>
      </c>
      <c r="F3" s="5" t="s">
        <v>25</v>
      </c>
      <c r="G3" s="5" t="s">
        <v>40</v>
      </c>
      <c r="H3" s="5" t="s">
        <v>41</v>
      </c>
      <c r="I3" s="5" t="s">
        <v>43</v>
      </c>
    </row>
    <row r="4">
      <c r="A4" s="5" t="s">
        <v>15</v>
      </c>
      <c r="B4" s="5" t="s">
        <v>6</v>
      </c>
      <c r="C4" s="5" t="s">
        <v>19</v>
      </c>
      <c r="D4" s="5" t="s">
        <v>46</v>
      </c>
      <c r="E4" s="5" t="s">
        <v>20</v>
      </c>
      <c r="F4" s="5" t="s">
        <v>25</v>
      </c>
      <c r="G4" s="5" t="s">
        <v>50</v>
      </c>
      <c r="H4" s="5" t="s">
        <v>41</v>
      </c>
      <c r="I4" s="5" t="s">
        <v>54</v>
      </c>
    </row>
    <row r="5">
      <c r="A5" s="5" t="s">
        <v>15</v>
      </c>
      <c r="B5" s="5" t="s">
        <v>13</v>
      </c>
      <c r="C5" s="5" t="s">
        <v>19</v>
      </c>
      <c r="D5" s="5" t="s">
        <v>58</v>
      </c>
      <c r="E5" s="5" t="s">
        <v>49</v>
      </c>
      <c r="F5" s="5" t="s">
        <v>25</v>
      </c>
      <c r="G5" s="5" t="s">
        <v>62</v>
      </c>
      <c r="H5" s="5" t="s">
        <v>41</v>
      </c>
      <c r="I5" s="5" t="s">
        <v>65</v>
      </c>
    </row>
    <row r="6">
      <c r="A6" s="5" t="s">
        <v>15</v>
      </c>
      <c r="B6" s="5" t="s">
        <v>14</v>
      </c>
      <c r="C6" s="5" t="s">
        <v>19</v>
      </c>
      <c r="D6" s="5" t="s">
        <v>67</v>
      </c>
      <c r="E6" s="5" t="s">
        <v>52</v>
      </c>
      <c r="F6" s="5" t="s">
        <v>25</v>
      </c>
      <c r="G6" s="5" t="s">
        <v>69</v>
      </c>
      <c r="H6" s="5" t="s">
        <v>41</v>
      </c>
      <c r="I6" s="5" t="s">
        <v>71</v>
      </c>
    </row>
    <row r="7">
      <c r="A7" s="5" t="s">
        <v>15</v>
      </c>
      <c r="B7" s="5" t="s">
        <v>16</v>
      </c>
      <c r="C7" s="5" t="s">
        <v>19</v>
      </c>
      <c r="D7" s="5" t="s">
        <v>75</v>
      </c>
      <c r="E7" s="10" t="s">
        <v>59</v>
      </c>
      <c r="F7" s="5" t="s">
        <v>106</v>
      </c>
      <c r="G7" s="5" t="s">
        <v>107</v>
      </c>
      <c r="H7" s="5" t="s">
        <v>41</v>
      </c>
      <c r="I7" s="5" t="s">
        <v>108</v>
      </c>
    </row>
    <row r="8">
      <c r="A8" s="5" t="s">
        <v>15</v>
      </c>
      <c r="B8" s="5" t="s">
        <v>18</v>
      </c>
      <c r="C8" s="5" t="s">
        <v>111</v>
      </c>
      <c r="D8" s="5" t="s">
        <v>112</v>
      </c>
      <c r="E8" s="5">
        <v>2005.0</v>
      </c>
      <c r="F8" s="5" t="s">
        <v>25</v>
      </c>
      <c r="G8" s="5" t="s">
        <v>116</v>
      </c>
      <c r="H8" s="5" t="s">
        <v>41</v>
      </c>
      <c r="I8" s="5" t="s">
        <v>117</v>
      </c>
    </row>
    <row r="9">
      <c r="A9" s="5" t="s">
        <v>15</v>
      </c>
      <c r="B9" s="5" t="s">
        <v>22</v>
      </c>
      <c r="C9" s="5" t="s">
        <v>19</v>
      </c>
      <c r="D9" s="5" t="s">
        <v>118</v>
      </c>
      <c r="E9" s="5" t="s">
        <v>119</v>
      </c>
      <c r="F9" s="5" t="s">
        <v>25</v>
      </c>
      <c r="G9" s="5" t="s">
        <v>120</v>
      </c>
      <c r="H9" s="5" t="s">
        <v>41</v>
      </c>
      <c r="I9" s="5" t="s">
        <v>124</v>
      </c>
    </row>
    <row r="10">
      <c r="A10" s="5" t="s">
        <v>15</v>
      </c>
      <c r="B10" s="5" t="s">
        <v>24</v>
      </c>
      <c r="C10" s="5" t="s">
        <v>19</v>
      </c>
      <c r="D10" s="5" t="s">
        <v>128</v>
      </c>
      <c r="E10" s="5" t="s">
        <v>121</v>
      </c>
      <c r="F10" s="5" t="s">
        <v>25</v>
      </c>
      <c r="G10" s="5" t="s">
        <v>130</v>
      </c>
      <c r="H10" s="5" t="s">
        <v>41</v>
      </c>
      <c r="I10" s="5" t="s">
        <v>132</v>
      </c>
    </row>
    <row r="11">
      <c r="A11" s="5" t="s">
        <v>15</v>
      </c>
      <c r="B11" s="5" t="s">
        <v>28</v>
      </c>
      <c r="C11" s="5" t="s">
        <v>19</v>
      </c>
      <c r="D11" s="5" t="s">
        <v>133</v>
      </c>
      <c r="E11" s="5" t="s">
        <v>123</v>
      </c>
      <c r="F11" s="5" t="s">
        <v>25</v>
      </c>
      <c r="G11" s="5" t="s">
        <v>134</v>
      </c>
      <c r="H11" s="5" t="s">
        <v>41</v>
      </c>
      <c r="I11" s="5" t="s">
        <v>135</v>
      </c>
    </row>
    <row r="12">
      <c r="A12" s="5" t="s">
        <v>15</v>
      </c>
      <c r="B12" s="5" t="s">
        <v>32</v>
      </c>
      <c r="C12" s="5" t="s">
        <v>19</v>
      </c>
      <c r="D12" s="5" t="s">
        <v>137</v>
      </c>
      <c r="E12" s="5" t="s">
        <v>125</v>
      </c>
      <c r="F12" s="5" t="s">
        <v>25</v>
      </c>
      <c r="G12" s="5" t="s">
        <v>139</v>
      </c>
      <c r="H12" s="5" t="s">
        <v>41</v>
      </c>
      <c r="I12" s="5" t="s">
        <v>140</v>
      </c>
    </row>
    <row r="13">
      <c r="A13" s="5" t="s">
        <v>15</v>
      </c>
      <c r="B13" s="5" t="s">
        <v>34</v>
      </c>
      <c r="C13" s="5" t="s">
        <v>19</v>
      </c>
      <c r="D13" s="5" t="s">
        <v>141</v>
      </c>
      <c r="E13" s="5" t="s">
        <v>126</v>
      </c>
      <c r="F13" s="5" t="s">
        <v>25</v>
      </c>
      <c r="G13" s="5" t="s">
        <v>50</v>
      </c>
      <c r="H13" s="5" t="s">
        <v>41</v>
      </c>
      <c r="I13" s="5" t="s">
        <v>143</v>
      </c>
    </row>
    <row r="14">
      <c r="A14" s="5" t="s">
        <v>15</v>
      </c>
      <c r="B14" s="5" t="s">
        <v>36</v>
      </c>
      <c r="C14" s="5" t="s">
        <v>19</v>
      </c>
      <c r="D14" s="5" t="s">
        <v>144</v>
      </c>
      <c r="E14" s="5" t="s">
        <v>129</v>
      </c>
      <c r="F14" s="5" t="s">
        <v>25</v>
      </c>
      <c r="G14" s="5" t="s">
        <v>145</v>
      </c>
      <c r="H14" s="5" t="s">
        <v>41</v>
      </c>
      <c r="I14" s="5" t="s">
        <v>146</v>
      </c>
    </row>
    <row r="15">
      <c r="A15" s="5" t="s">
        <v>1</v>
      </c>
      <c r="B15" s="5" t="s">
        <v>1</v>
      </c>
      <c r="C15" s="5" t="s">
        <v>19</v>
      </c>
      <c r="D15" s="5" t="s">
        <v>21</v>
      </c>
      <c r="E15" s="5" t="s">
        <v>10</v>
      </c>
      <c r="F15" s="5" t="s">
        <v>25</v>
      </c>
      <c r="G15" s="5" t="s">
        <v>27</v>
      </c>
      <c r="H15" s="5" t="s">
        <v>29</v>
      </c>
      <c r="I15" s="5" t="s">
        <v>148</v>
      </c>
    </row>
    <row r="16">
      <c r="A16" s="5" t="s">
        <v>1</v>
      </c>
      <c r="B16" s="5" t="s">
        <v>3</v>
      </c>
      <c r="C16" s="5" t="s">
        <v>19</v>
      </c>
      <c r="D16" s="5" t="s">
        <v>149</v>
      </c>
      <c r="E16" s="5" t="s">
        <v>17</v>
      </c>
      <c r="F16" s="5" t="s">
        <v>25</v>
      </c>
      <c r="G16" s="5" t="s">
        <v>40</v>
      </c>
      <c r="H16" s="5" t="s">
        <v>41</v>
      </c>
      <c r="I16" s="5" t="s">
        <v>151</v>
      </c>
    </row>
    <row r="17">
      <c r="A17" s="5" t="s">
        <v>1</v>
      </c>
      <c r="B17" s="5" t="s">
        <v>6</v>
      </c>
      <c r="C17" s="5" t="s">
        <v>19</v>
      </c>
      <c r="D17" s="5" t="s">
        <v>152</v>
      </c>
      <c r="E17" s="5" t="s">
        <v>20</v>
      </c>
      <c r="F17" s="5" t="s">
        <v>25</v>
      </c>
      <c r="G17" s="5" t="s">
        <v>50</v>
      </c>
      <c r="H17" s="5" t="s">
        <v>41</v>
      </c>
      <c r="I17" s="5" t="s">
        <v>153</v>
      </c>
    </row>
    <row r="18">
      <c r="A18" s="5" t="s">
        <v>154</v>
      </c>
      <c r="B18" s="5" t="s">
        <v>56</v>
      </c>
      <c r="C18" s="5" t="s">
        <v>19</v>
      </c>
      <c r="D18" s="5" t="s">
        <v>156</v>
      </c>
      <c r="E18" s="5" t="s">
        <v>95</v>
      </c>
      <c r="F18" s="5" t="s">
        <v>25</v>
      </c>
      <c r="G18" s="5" t="s">
        <v>50</v>
      </c>
      <c r="H18" s="5" t="s">
        <v>158</v>
      </c>
      <c r="I18" s="5" t="s">
        <v>159</v>
      </c>
    </row>
    <row r="19">
      <c r="A19" s="5" t="s">
        <v>154</v>
      </c>
      <c r="B19" s="5" t="s">
        <v>80</v>
      </c>
      <c r="C19" s="5" t="s">
        <v>19</v>
      </c>
      <c r="D19" s="5" t="s">
        <v>160</v>
      </c>
      <c r="E19" s="5" t="s">
        <v>96</v>
      </c>
      <c r="F19" s="5" t="s">
        <v>25</v>
      </c>
      <c r="G19" s="5" t="s">
        <v>50</v>
      </c>
      <c r="H19" s="5" t="s">
        <v>158</v>
      </c>
      <c r="I19" s="5" t="s">
        <v>162</v>
      </c>
    </row>
    <row r="20">
      <c r="A20" s="5" t="s">
        <v>154</v>
      </c>
      <c r="B20" s="5" t="s">
        <v>88</v>
      </c>
      <c r="C20" s="5" t="s">
        <v>19</v>
      </c>
      <c r="D20" s="5" t="s">
        <v>163</v>
      </c>
      <c r="E20" s="5" t="s">
        <v>97</v>
      </c>
      <c r="F20" s="5" t="s">
        <v>25</v>
      </c>
      <c r="G20" s="5" t="s">
        <v>50</v>
      </c>
      <c r="H20" s="5" t="s">
        <v>167</v>
      </c>
      <c r="I20" s="5" t="s">
        <v>168</v>
      </c>
    </row>
    <row r="21">
      <c r="A21" s="5" t="s">
        <v>154</v>
      </c>
      <c r="B21" s="5" t="s">
        <v>94</v>
      </c>
      <c r="C21" s="5" t="s">
        <v>19</v>
      </c>
      <c r="D21" s="5" t="s">
        <v>170</v>
      </c>
      <c r="E21" s="5" t="s">
        <v>98</v>
      </c>
      <c r="F21" s="5" t="s">
        <v>25</v>
      </c>
      <c r="G21" s="5" t="s">
        <v>172</v>
      </c>
      <c r="H21" s="5" t="s">
        <v>173</v>
      </c>
      <c r="I21" s="5" t="s">
        <v>174</v>
      </c>
    </row>
  </sheetData>
  <hyperlinks>
    <hyperlink r:id="rId1" ref="E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57"/>
    <col customWidth="1" min="2" max="2" width="106.43"/>
    <col customWidth="1" min="3" max="3" width="55.43"/>
    <col customWidth="1" min="4" max="4" width="14.14"/>
    <col customWidth="1" min="5" max="5" width="80.57"/>
    <col customWidth="1" min="6" max="6" width="36.29"/>
  </cols>
  <sheetData>
    <row r="1">
      <c r="A1" s="1" t="s">
        <v>102</v>
      </c>
      <c r="B1" s="1" t="s">
        <v>103</v>
      </c>
      <c r="C1" s="1" t="s">
        <v>104</v>
      </c>
      <c r="D1" s="1" t="s">
        <v>94</v>
      </c>
      <c r="E1" s="1" t="s">
        <v>109</v>
      </c>
      <c r="F1" s="1" t="s">
        <v>110</v>
      </c>
    </row>
    <row r="2">
      <c r="A2" s="4" t="s">
        <v>113</v>
      </c>
      <c r="B2" s="4" t="s">
        <v>115</v>
      </c>
      <c r="C2" s="12">
        <f>COUNTA(Selected_Institutions!A2:A100)</f>
        <v>15</v>
      </c>
      <c r="D2" s="13" t="str">
        <f>IF(COUNTA(Selected_Institutions!A2:A100)=15,"PASS","FAIL")</f>
        <v>PASS</v>
      </c>
      <c r="E2" s="12">
        <f>COUNTA(Selected_Institutions!A2:A100)</f>
        <v>15</v>
      </c>
      <c r="F2" s="5" t="s">
        <v>178</v>
      </c>
    </row>
    <row r="3">
      <c r="A3" s="4" t="s">
        <v>179</v>
      </c>
      <c r="B3" s="4" t="s">
        <v>180</v>
      </c>
      <c r="C3" s="12" t="str">
        <f>IFERROR(__xludf.DUMMYFUNCTION("""Count: "" &amp; COUNTA(Selected_Institutions!A2:A16) &amp; "" | Unique: "" &amp; COUNTUNIQUE(Selected_Institutions!A2:A16)"),"Count: 15 | Unique: 15")</f>
        <v>Count: 15 | Unique: 15</v>
      </c>
      <c r="D3" s="13" t="str">
        <f>IFERROR(__xludf.DUMMYFUNCTION("IF(AND(COUNTA(Selected_Institutions!A2:A16)=15,COUNTUNIQUE(Selected_Institutions!A2:A16)=15,COUNTIF(Selected_Institutions!A2:A16,""INST*"")=15),""PASS"",""FAIL"")"),"PASS")</f>
        <v>PASS</v>
      </c>
      <c r="E3" s="12" t="str">
        <f>IFERROR(__xludf.DUMMYFUNCTION("IF(AND(COUNTA(Selected_Institutions!A2:A16)=15,COUNTUNIQUE(Selected_Institutions!A2:A16)=15),""PASS"",""FAIL"")"),"PASS")</f>
        <v>PASS</v>
      </c>
      <c r="F3" s="5" t="s">
        <v>187</v>
      </c>
    </row>
    <row r="4">
      <c r="A4" s="4" t="s">
        <v>190</v>
      </c>
      <c r="B4" s="4" t="s">
        <v>191</v>
      </c>
      <c r="C4" s="12" t="str">
        <f>IFERROR(__xludf.DUMMYFUNCTION("""Count: "" &amp; COUNTA(Selected_Institutions!B2:B16) &amp; "" | Unique: "" &amp; COUNTUNIQUE(Selected_Institutions!B2:B16)"),"Count: 15 | Unique: 15")</f>
        <v>Count: 15 | Unique: 15</v>
      </c>
      <c r="D4" s="13" t="str">
        <f>IFERROR(__xludf.DUMMYFUNCTION("IF(AND(COUNTA(Selected_Institutions!B2:B16)=15,COUNTUNIQUE(Selected_Institutions!B2:B16)=15),""PASS"",""FAIL"")"),"PASS")</f>
        <v>PASS</v>
      </c>
      <c r="E4" s="12" t="str">
        <f>IFERROR(__xludf.DUMMYFUNCTION("IF(AND(COUNTA(Selected_Institutions!B2:B16)=15,COUNTUNIQUE(Selected_Institutions!B2:B16)=15),""PASS"",""FAIL"")"),"PASS")</f>
        <v>PASS</v>
      </c>
      <c r="F4" s="5" t="s">
        <v>193</v>
      </c>
    </row>
    <row r="5">
      <c r="A5" s="4" t="s">
        <v>194</v>
      </c>
      <c r="B5" s="4" t="s">
        <v>195</v>
      </c>
      <c r="C5" s="12" t="str">
        <f>"Matched Codes: " &amp; SUMPRODUCT(--(Institution_ID_Mapping!B2:B16=Selected_Institutions!B2:B16)) &amp; "/15 | Matched Names: " &amp; SUMPRODUCT(--(Institution_ID_Mapping!C2:C16=Selected_Institutions!C2:C16)) &amp; "/15"</f>
        <v>Matched Codes: 15/15 | Matched Names: 15/15</v>
      </c>
      <c r="D5" s="13" t="str">
        <f>IF(AND(SUMPRODUCT(--(Institution_ID_Mapping!B2:B16=Selected_Institutions!B2:B16))=15,SUMPRODUCT(--(Institution_ID_Mapping!C2:C16=Selected_Institutions!C2:C16))=15),"PASS","FAIL")</f>
        <v>PASS</v>
      </c>
      <c r="E5" s="12" t="str">
        <f>IF(AND(SUMPRODUCT(--(Institution_ID_Mapping!B2:B16=Selected_Institutions!B2:B16))=15,SUMPRODUCT(--(Institution_ID_Mapping!C2:C16=Selected_Institutions!C2:C16))=15),"PASS","FAIL")</f>
        <v>PASS</v>
      </c>
      <c r="F5" s="5" t="s">
        <v>206</v>
      </c>
    </row>
    <row r="6">
      <c r="A6" s="4" t="s">
        <v>207</v>
      </c>
      <c r="B6" s="4" t="s">
        <v>208</v>
      </c>
      <c r="C6" s="12" t="str">
        <f>IFERROR(__xludf.DUMMYFUNCTION("""MH: "" &amp; COUNTIF(Selected_Institutions!D2:D16,""Maharashtra"") &amp; "" (Mumbai: "" &amp; COUNTIFS(Selected_Institutions!D2:D16,""Maharashtra"",Selected_Institutions!E2:E16,""Mumbai"") &amp; "", Pune: "" &amp; COUNTIFS(Selected_Institutions!D2:D16,""Maharashtra"",Selec"&amp;"ted_Institutions!E2:E16,""Pune"") &amp; "") | Delhi: "" &amp; COUNTIF(Selected_Institutions!D2:D16,""Delhi"") &amp; "" | Unique States: "" &amp; COUNTUNIQUE(Selected_Institutions!D2:D16)"),"MH: 6 (Mumbai: 2, Pune: 2) | Delhi: 0 | Unique States: 7")</f>
        <v>MH: 6 (Mumbai: 2, Pune: 2) | Delhi: 0 | Unique States: 7</v>
      </c>
      <c r="D6" s="14" t="s">
        <v>214</v>
      </c>
      <c r="E6" s="4" t="s">
        <v>215</v>
      </c>
      <c r="F6" s="5" t="s">
        <v>216</v>
      </c>
    </row>
    <row r="7">
      <c r="A7" s="4" t="s">
        <v>217</v>
      </c>
      <c r="B7" s="4" t="s">
        <v>218</v>
      </c>
      <c r="C7" s="12" t="str">
        <f>"Private Un-Aided: " &amp; COUNTIF(Selected_Institutions!J2:J16,"Private Un-Aided") &amp; " | Private Aided: " &amp; COUNTIF(Selected_Institutions!J2:J16,"Private Aided*") &amp; " | Central/State Govt: 0"</f>
        <v>Private Un-Aided: 11 | Private Aided: 4 | Central/State Govt: 0</v>
      </c>
      <c r="D7" s="14" t="s">
        <v>214</v>
      </c>
      <c r="E7" s="4" t="s">
        <v>215</v>
      </c>
      <c r="F7" s="5" t="s">
        <v>223</v>
      </c>
    </row>
    <row r="8">
      <c r="A8" s="15" t="s">
        <v>224</v>
      </c>
      <c r="B8" s="15" t="s">
        <v>225</v>
      </c>
      <c r="C8" s="16" t="str">
        <f>"4 PASS, 2 FAIL"</f>
        <v>4 PASS, 2 FAIL</v>
      </c>
      <c r="D8" s="17" t="str">
        <f>IF(COUNTIF(D2:D7,"FAIL")&gt;0,"REVIEW / FAIL","PASS")</f>
        <v>REVIEW / FAIL</v>
      </c>
      <c r="E8" s="16" t="str">
        <f>IF(COUNTIF(D2:D7,"FAIL")&gt;0,"REVIEW / FAIL","PASS")</f>
        <v>REVIEW / FAIL</v>
      </c>
      <c r="F8" s="18" t="s">
        <v>231</v>
      </c>
    </row>
  </sheetData>
  <conditionalFormatting sqref="D2:D8">
    <cfRule type="containsText" dxfId="5" priority="1" stopIfTrue="1" operator="containsText" text="PASS">
      <formula>NOT(ISERROR(SEARCH(("PASS"),(D2))))</formula>
    </cfRule>
  </conditionalFormatting>
  <conditionalFormatting sqref="D2:D8">
    <cfRule type="containsText" dxfId="6" priority="2" stopIfTrue="1" operator="containsText" text="FAIL">
      <formula>NOT(ISERROR(SEARCH(("FAIL"),(D2))))</formula>
    </cfRule>
  </conditionalFormatting>
  <drawing r:id="rId1"/>
</worksheet>
</file>