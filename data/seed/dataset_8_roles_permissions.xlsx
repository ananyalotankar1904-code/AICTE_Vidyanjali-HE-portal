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tion_Report" sheetId="1" r:id="rId5"/>
    <sheet state="visible" name="Roles" sheetId="2" r:id="rId6"/>
    <sheet state="visible" name="Permissions" sheetId="3" r:id="rId7"/>
    <sheet state="visible" name="Demo_Users" sheetId="4" r:id="rId8"/>
    <sheet state="visible" name="Data_Dictionary" sheetId="5" r:id="rId9"/>
    <sheet state="visible" name="Read_Me" sheetId="6" r:id="rId10"/>
  </sheets>
  <definedNames/>
  <calcPr/>
</workbook>
</file>

<file path=xl/sharedStrings.xml><?xml version="1.0" encoding="utf-8"?>
<sst xmlns="http://schemas.openxmlformats.org/spreadsheetml/2006/main" count="789" uniqueCount="550">
  <si>
    <t>role_id</t>
  </si>
  <si>
    <t>permission_id</t>
  </si>
  <si>
    <t>user_id</t>
  </si>
  <si>
    <t>AICTE PORTAL ACCESS CONTROL &amp; GOVERNANCE VALIDATION REPORT</t>
  </si>
  <si>
    <t>role_name</t>
  </si>
  <si>
    <t>display_name</t>
  </si>
  <si>
    <t>Automated Governance, Relational Integrity &amp; Separation-of-Duties (SoD) Audit Suite</t>
  </si>
  <si>
    <t>resource</t>
  </si>
  <si>
    <t>action</t>
  </si>
  <si>
    <t>permission_granted</t>
  </si>
  <si>
    <t>EXECUTIVE KPI SUMMARY</t>
  </si>
  <si>
    <t>conditions</t>
  </si>
  <si>
    <t>demo_account_status</t>
  </si>
  <si>
    <t>requires_reason</t>
  </si>
  <si>
    <t>role_description</t>
  </si>
  <si>
    <t>Total Integrity Tests</t>
  </si>
  <si>
    <t>creates_audit_event</t>
  </si>
  <si>
    <t>is_synthetic_user</t>
  </si>
  <si>
    <t>is_demo_role</t>
  </si>
  <si>
    <t>Tests Passed</t>
  </si>
  <si>
    <t>source_reference</t>
  </si>
  <si>
    <t>Tests Failed</t>
  </si>
  <si>
    <t>is_demo_rule</t>
  </si>
  <si>
    <t>demo_notes</t>
  </si>
  <si>
    <t>System Compliance Rate</t>
  </si>
  <si>
    <t>Decision Authority SoD</t>
  </si>
  <si>
    <t>Current Status</t>
  </si>
  <si>
    <t>dataset_3_mapping</t>
  </si>
  <si>
    <t>datasets_5_7_mapping</t>
  </si>
  <si>
    <t>dataset_9_mapping</t>
  </si>
  <si>
    <t>USR_DEMO_001</t>
  </si>
  <si>
    <t>ROLE_INST_APPLICANT</t>
  </si>
  <si>
    <t>Institution Applicant</t>
  </si>
  <si>
    <t>Demo Institution Registrar (Apex Tech)</t>
  </si>
  <si>
    <t>PERM_001</t>
  </si>
  <si>
    <t>Authorized representative of an academic institution responsible for drafting, submitting, and updating approval applications and compliance documents.</t>
  </si>
  <si>
    <t>ACTIVE</t>
  </si>
  <si>
    <t>APPLICATION</t>
  </si>
  <si>
    <t>CREATE</t>
  </si>
  <si>
    <t>AICTE Approval Process Handbook (APH); illustrative prototype role design</t>
  </si>
  <si>
    <t>Prototype role for portal demo; scoped strictly to institution's own data.</t>
  </si>
  <si>
    <t>Owned institution only; before submission deadline</t>
  </si>
  <si>
    <t>ROLE_INSTITUTION_ADMIN (ROL_01 "Institution Admin")</t>
  </si>
  <si>
    <t>AICTE APH Application Submission; prototype rule</t>
  </si>
  <si>
    <t>Synthetic applicant representing engineering institute applying for EoA.</t>
  </si>
  <si>
    <t>ROLE_INSTITUTION_ADMIN</t>
  </si>
  <si>
    <t>Allows drafting initial approval application.</t>
  </si>
  <si>
    <t>ROLE_INSTITUTION_ADMIN (USR-INST-1001, USR-INST-1002, USR-INST-1015)</t>
  </si>
  <si>
    <t>PERM_002</t>
  </si>
  <si>
    <t>USR_DEMO_002</t>
  </si>
  <si>
    <t>Demo Intake Officer (Regional Cell)</t>
  </si>
  <si>
    <t>SUBMIT</t>
  </si>
  <si>
    <t>Mandatory fields complete; payment confirmed; before deadline</t>
  </si>
  <si>
    <t>ROLE_INTAKE_OFFICER</t>
  </si>
  <si>
    <t>Submits application to intake queue; locks editing.</t>
  </si>
  <si>
    <t>Intake Officer</t>
  </si>
  <si>
    <t>Synthetic officer handling application triage and payment verification.</t>
  </si>
  <si>
    <t>AICTE/portal administrative officer responsible for initial receipt, completeness check, fee payment verification, and routing applications.</t>
  </si>
  <si>
    <t>PERM_003</t>
  </si>
  <si>
    <t>AICTE APH Application Receiving &amp; Processing workflow; illustrative prototype role design</t>
  </si>
  <si>
    <t>VIEW</t>
  </si>
  <si>
    <t>Assigned to initial intake triage; can view all incoming submissions but cannot record decisions.</t>
  </si>
  <si>
    <t>Scoped strictly to own institution ID</t>
  </si>
  <si>
    <t>ROLE_INTAKE_OFFICER (ROL_02) / ROLE_VALIDATION_OFFICER (ROL_03)</t>
  </si>
  <si>
    <t>Data Privacy / Access Control; prototype rule</t>
  </si>
  <si>
    <t>USR_DEMO_003</t>
  </si>
  <si>
    <t>ROLE_RO_CASE_WORKER / ROLE_REGIONAL_OFFICER</t>
  </si>
  <si>
    <t>Cannot view other institutions' applications.</t>
  </si>
  <si>
    <t>Demo Scrutiny Officer (Tech Evaluation)</t>
  </si>
  <si>
    <t>ROLE_RO_CASE_WORKER (USR-RO-W01)</t>
  </si>
  <si>
    <t>PERM_004</t>
  </si>
  <si>
    <t>ROLE_SCRUTINY_OFFICER</t>
  </si>
  <si>
    <t>DEFICIENCY_CORRECTION</t>
  </si>
  <si>
    <t>Scrutiny Officer</t>
  </si>
  <si>
    <t>Member of the Scrutiny Committee verifying institutional documentation, land/building norms, regulatory compliance, and issuing deficiency notices.</t>
  </si>
  <si>
    <t>Deficiency notice active; within correction window</t>
  </si>
  <si>
    <t>Synthetic reviewer conducting document scrutiny and issuing deficiencies.</t>
  </si>
  <si>
    <t>AICTE APH Chapter I &amp; II Scrutiny Procedures; illustrative prototype role design</t>
  </si>
  <si>
    <t>AICTE APH Scrutiny Correction Process; prototype rule</t>
  </si>
  <si>
    <t>Performs document scrutiny; can raise deficiency notices and review correction submissions.</t>
  </si>
  <si>
    <t>Allows uploading compliance documents to rectify noted deficiencies.</t>
  </si>
  <si>
    <t>ROLE_SCRUTINY_OFFICER (ROL_04 "Scrutiny Officer")</t>
  </si>
  <si>
    <t>ROLE_SCRUTINY_MEMBER</t>
  </si>
  <si>
    <t>USR_DEMO_004</t>
  </si>
  <si>
    <t>ROLE_SCRUTINY_MEMBER (USR-SCRUT-402)</t>
  </si>
  <si>
    <t>Demo EVC Lead (Physical Inspection)</t>
  </si>
  <si>
    <t>PERM_005</t>
  </si>
  <si>
    <t>ROLE_EVC_TEAM</t>
  </si>
  <si>
    <t>UNDERTAKING</t>
  </si>
  <si>
    <t>Synthetic inspection expert compiling on-site infrastructure verification report.</t>
  </si>
  <si>
    <t>Digital signature or Aadhaar OTP authenticated</t>
  </si>
  <si>
    <t>AICTE APH Affidavit &amp; Undertaking Norms; prototype rule</t>
  </si>
  <si>
    <t>Uploads sworn compliance undertakings and affidavits.</t>
  </si>
  <si>
    <t>USR_DEMO_005</t>
  </si>
  <si>
    <t>PERM_006</t>
  </si>
  <si>
    <t>Demo Hearing Committee Chair (SHC)</t>
  </si>
  <si>
    <t>ROLE_COMMITTEE_REVIEWER</t>
  </si>
  <si>
    <t>EVC Coordinator/Team</t>
  </si>
  <si>
    <t>DOCUMENT_RENEWAL</t>
  </si>
  <si>
    <t>Expert Visiting Committee expert/coordinator conducting physical or virtual inspection of campus infrastructure, labs, and faculty readiness.</t>
  </si>
  <si>
    <t>Synthetic reviewer recording committee recommendation; advisory only.</t>
  </si>
  <si>
    <t>Annual renewal cycle open for approved institutions</t>
  </si>
  <si>
    <t>AICTE APH Expert Visit Committee (EVC) guidelines; illustrative prototype role design</t>
  </si>
  <si>
    <t>AICTE APH Extension of Approval (EoA); prototype rule</t>
  </si>
  <si>
    <t>Uploads EVC inspection reports, schedules visits, and enters findings; cannot issue final decisions.</t>
  </si>
  <si>
    <t>ROLE_EVC_COORDINATOR (ROL_05 "EVC Coordinator")</t>
  </si>
  <si>
    <t>Submits annual renewal documents and fee.</t>
  </si>
  <si>
    <t>ROLE_EVC_EXPERT</t>
  </si>
  <si>
    <t>ROLE_APPROVAL_BUREAU (Inspection Scheduling) / ROLE_EVC_EXPERT</t>
  </si>
  <si>
    <t>USR_DEMO_006</t>
  </si>
  <si>
    <t>PERM_007</t>
  </si>
  <si>
    <t>Demo Authorized Signatory (Council Executive)</t>
  </si>
  <si>
    <t>OFFICIAL_DECISION</t>
  </si>
  <si>
    <t>ROLE_COMPETENT_AUTH</t>
  </si>
  <si>
    <t>RECORD</t>
  </si>
  <si>
    <t>Strictly denied: Non-authority role</t>
  </si>
  <si>
    <t>AICTE Act, 1987 Section 10; statutory governance</t>
  </si>
  <si>
    <t>Synthetic competent authority with statutory approval and rejection mandate.</t>
  </si>
  <si>
    <t>Institutions are barred from recording any statutory approval decision.</t>
  </si>
  <si>
    <t>PERM_008</t>
  </si>
  <si>
    <t>Committee Reviewer</t>
  </si>
  <si>
    <t>Standing Hearing Committee (SHC) or Standing Appellate Committee (SAC) member reviewing scrutiny/EVC findings and formulating recommendations.</t>
  </si>
  <si>
    <t>All submitted applications within assigned region</t>
  </si>
  <si>
    <t>AICTE APH Hearing &amp; Appellate Committee Framework; illustrative prototype role design</t>
  </si>
  <si>
    <t>USR_DEMO_007</t>
  </si>
  <si>
    <t>AICTE Intake Desk SOP; prototype rule</t>
  </si>
  <si>
    <t>Demo Compliance Officer (Annual Monitoring)</t>
  </si>
  <si>
    <t>Allows screening submitted applications across jurisdiction.</t>
  </si>
  <si>
    <t>ROLE_COMPLIANCE_REV</t>
  </si>
  <si>
    <t>Synthetic reviewer monitoring post-approval compliance and affidavits.</t>
  </si>
  <si>
    <t>PERM_009</t>
  </si>
  <si>
    <t>Formulates advisory recommendations only; strictly prohibited from recording statutory decisions.</t>
  </si>
  <si>
    <t>ASSIGN</t>
  </si>
  <si>
    <t>ROLE_COMMITTEE_SECRETARIAT (ROL_06) / ROLE_APPELLATE_AUTHORITY (ROL_09)</t>
  </si>
  <si>
    <t>Application status = SUBMITTED; fees verified</t>
  </si>
  <si>
    <t>ROLE_SAC_CHAIR</t>
  </si>
  <si>
    <t>AICTE Intake Routing Procedure; prototype rule</t>
  </si>
  <si>
    <t>Routes applications to Scrutiny Committee officers.</t>
  </si>
  <si>
    <t>ROLE_SAC_CHAIR (Appellate Hearing Review)</t>
  </si>
  <si>
    <t>USR_DEMO_008</t>
  </si>
  <si>
    <t>PERM_010</t>
  </si>
  <si>
    <t>APPLICATION_FEE</t>
  </si>
  <si>
    <t>VERIFY</t>
  </si>
  <si>
    <t>Payment gateway reconciliation matching transaction ref</t>
  </si>
  <si>
    <t>Financial Verification Rules; prototype rule</t>
  </si>
  <si>
    <t>Verifies fee receipts before forwarding to scrutiny.</t>
  </si>
  <si>
    <t>PERM_011</t>
  </si>
  <si>
    <t>Benchmark / Threshold</t>
  </si>
  <si>
    <t>Competent Authority/Authorised Official</t>
  </si>
  <si>
    <t>DEADLINE</t>
  </si>
  <si>
    <t>MANAGE</t>
  </si>
  <si>
    <t>Demo System Administrator (SecOps)</t>
  </si>
  <si>
    <t>Designated statutory executive (e.g., Member Secretary / Chairman / Council Authorized Signatory) empowered to record official approval decisions.</t>
  </si>
  <si>
    <t>Strictly denied: Administrative intake only</t>
  </si>
  <si>
    <t>10 Core Unit Tests</t>
  </si>
  <si>
    <t>AICTE Statutory Regulation; prototype rule</t>
  </si>
  <si>
    <t>AICTE Act, 1987 &amp; Approval Process Handbook Statutory Decision Provisions</t>
  </si>
  <si>
    <t>10 Passing Target</t>
  </si>
  <si>
    <t>Intake officers cannot modify or extend statutory deadlines.</t>
  </si>
  <si>
    <t>Sole role authorized to record official approval, rejection, or withdrawal decisions in the system.</t>
  </si>
  <si>
    <t>0 Tolerated</t>
  </si>
  <si>
    <t>ROLE_COMPETENT_AUTHORITY (ROL_07) / ROLE_RECORDS_OFFICER (ROL_08)</t>
  </si>
  <si>
    <t>100.0% Target</t>
  </si>
  <si>
    <t>PERM_012</t>
  </si>
  <si>
    <t>ROLE_EXECUTIVE_COMMITTEE / ROLE_APPROVAL_BUREAU</t>
  </si>
  <si>
    <t>AICTE Act 1987 Mandate</t>
  </si>
  <si>
    <t>ROLE_SYS_ADMIN</t>
  </si>
  <si>
    <t>ROLE_EXECUTIVE_COMMITTEE (USR-EC-SEC-01: LoA, EoA, Rejection)</t>
  </si>
  <si>
    <t>Applications assigned to scrutiny panel</t>
  </si>
  <si>
    <t>AICTE APH Scrutiny Guidelines; prototype rule</t>
  </si>
  <si>
    <t>AUTOMATED GOVERNANCE &amp; INTEGRITY UNIT TESTS</t>
  </si>
  <si>
    <t>Full view of institutional uploaded forms and attachments.</t>
  </si>
  <si>
    <t>PERM_013</t>
  </si>
  <si>
    <t>Compliance Reviewer</t>
  </si>
  <si>
    <t>SCRUTINY_REPORT</t>
  </si>
  <si>
    <t>Officer monitoring post-approval compliance, periodic affidavit verification, annual extension submissions, and regulatory disclosures.</t>
  </si>
  <si>
    <t>Panel quorum met; assigned application</t>
  </si>
  <si>
    <t>AICTE APH Post-Approval Compliance &amp; Monitoring Guidelines; illustrative prototype role design</t>
  </si>
  <si>
    <t>AICTE APH Chapter I &amp; II Scrutiny Procedures; prototype rule</t>
  </si>
  <si>
    <t>test_id</t>
  </si>
  <si>
    <t>Reviews annual compliance, undertaking submissions, and renewal documentation.</t>
  </si>
  <si>
    <t>Drafts clause-by-clause scrutiny evaluation against norms.</t>
  </si>
  <si>
    <t>ROLE_SCRUTINY_OFFICER (Post-deficiency) / ROLE_AUDITOR_VIGILANCE (ROL_10)</t>
  </si>
  <si>
    <t>ROLE_APPROVAL_BUREAU / ROLE_REGIONAL_OFFICER</t>
  </si>
  <si>
    <t>PERM_014</t>
  </si>
  <si>
    <t>ROLE_APPROVAL_BUREAU / ROLE_REGIONAL_OFFICER (USR-RO-DIR-NW)</t>
  </si>
  <si>
    <t>DEFICIENCY_NOTICE</t>
  </si>
  <si>
    <t>test_category</t>
  </si>
  <si>
    <t>ISSUE</t>
  </si>
  <si>
    <t>test_description</t>
  </si>
  <si>
    <t>Non-compliance identified; scrutiny window active</t>
  </si>
  <si>
    <t>Synthetic administrative profile managing roles, permissions, and audit logs.</t>
  </si>
  <si>
    <t>violation_count</t>
  </si>
  <si>
    <t>test_status</t>
  </si>
  <si>
    <t>remediation_action</t>
  </si>
  <si>
    <t>AICTE APH Deficiencies Issuance Protocol; prototype rule</t>
  </si>
  <si>
    <t>TEST_001</t>
  </si>
  <si>
    <t>System Administrator</t>
  </si>
  <si>
    <t>Issues itemized deficiency notice with strict response deadline.</t>
  </si>
  <si>
    <t>DATA_SANITY</t>
  </si>
  <si>
    <t>Ensures primary key uniqueness in Roles sheet (no duplicate role IDs).</t>
  </si>
  <si>
    <t>PERM_015</t>
  </si>
  <si>
    <t>Technical platform administrator managing user accounts, role-based access control, security parameters, system settings, and audit logs.</t>
  </si>
  <si>
    <t>CORRECTION_SUBMISSION</t>
  </si>
  <si>
    <t>REVIEW</t>
  </si>
  <si>
    <t>Compliance uploaded by applicant within deadline</t>
  </si>
  <si>
    <t>AICTE APH Scrutiny Compliance Review; prototype rule</t>
  </si>
  <si>
    <t>Reviews rectifications submitted by applicant.</t>
  </si>
  <si>
    <t>PERM_016</t>
  </si>
  <si>
    <t>Standard Enterprise IT &amp; Platform Security Governance; illustrative prototype role design</t>
  </si>
  <si>
    <t>Strictly denied: Scrutiny has advisory/reporting scope only</t>
  </si>
  <si>
    <t>AICTE Statutory Regulations; prototype rule</t>
  </si>
  <si>
    <t>Administrative role for user provisioning, configuration, and audit viewing; excluded from academic evaluations.</t>
  </si>
  <si>
    <t>Scrutiny officers cannot record final approval or rejection.</t>
  </si>
  <si>
    <t>ROLE_SYSTEM_ENGINE (ROL_11 "Automated Workflow Orchestrator")</t>
  </si>
  <si>
    <t>PERM_017</t>
  </si>
  <si>
    <t>ROLE_SYSTEM_ENGINE (Automated Timers / Alert Scheduler)</t>
  </si>
  <si>
    <t>ROLE_SYSTEM_ENGINE (SYS-ENGINE-AUTO, SYS-GATEWAY-WEBHOOK)</t>
  </si>
  <si>
    <t>Applications assigned for physical/virtual inspection</t>
  </si>
  <si>
    <t>AICTE APH Expert Visit Committee (EVC) SOP; prototype rule</t>
  </si>
  <si>
    <t>Views architectural plans, land docs, and faculty lists.</t>
  </si>
  <si>
    <t>PERM_018</t>
  </si>
  <si>
    <t>EVC_INSPECTION</t>
  </si>
  <si>
    <t>SCHEDULE</t>
  </si>
  <si>
    <t>Application routed to EVC; within inspection timeline</t>
  </si>
  <si>
    <t>AICTE EVC Operational Guidelines; prototype rule</t>
  </si>
  <si>
    <t>Sets date, time, and mode (physical/hybrid) of visit.</t>
  </si>
  <si>
    <t>PERM_019</t>
  </si>
  <si>
    <t>EVC_REPORT</t>
  </si>
  <si>
    <t>Inspection concluded; geo-tagged photos and video attached</t>
  </si>
  <si>
    <t>AICTE APH Expert Visit Reporting Standards; prototype rule</t>
  </si>
  <si>
    <t>Uploads signed inspection report with infrastructure verification.</t>
  </si>
  <si>
    <t>PERM_020</t>
  </si>
  <si>
    <t>Strictly denied: EVC provides factual inspection findings only</t>
  </si>
  <si>
    <t>Remove duplicate role entries from Roles!A2:A9.</t>
  </si>
  <si>
    <t>AICTE Act, 1987; prototype governance rule</t>
  </si>
  <si>
    <t>Inspection teams cannot issue statutory approvals or rejections.</t>
  </si>
  <si>
    <t>TEST_002</t>
  </si>
  <si>
    <t>Ensures primary key uniqueness in Demo_Users sheet (no duplicate user IDs).</t>
  </si>
  <si>
    <t>PERM_021</t>
  </si>
  <si>
    <t>SCRUTINY_EVC_DOSSIER</t>
  </si>
  <si>
    <t>Cases placed on hearing/appellate agenda</t>
  </si>
  <si>
    <t>AICTE APH Hearing &amp; Appellate Committee Framework; prototype rule</t>
  </si>
  <si>
    <t>Accesses combined scrutiny and EVC evaluation dossiers.</t>
  </si>
  <si>
    <t>PERM_022</t>
  </si>
  <si>
    <t>COMMITTEE_RECOMMENDATION</t>
  </si>
  <si>
    <t>Hearing conducted; committee quorum verified</t>
  </si>
  <si>
    <t>AICTE APH Standing Hearing Committee (SHC) Rules; prototype rule</t>
  </si>
  <si>
    <t>Records recommendation (e.g., Recommend Grant, Reject, or Re-EVC). Advisory only.</t>
  </si>
  <si>
    <t>Ensure distinct USR_DEMO_xxx identifiers across all synthetic users.</t>
  </si>
  <si>
    <t>PERM_023</t>
  </si>
  <si>
    <t>TEST_003</t>
  </si>
  <si>
    <t>Ensures primary key uniqueness in Permissions sheet (no duplicate permission IDs).</t>
  </si>
  <si>
    <t>Strictly denied: Recommendations are advisory; statutory decision reserved for Competent Authority</t>
  </si>
  <si>
    <t>AICTE APH &amp; Council Governance Regulations</t>
  </si>
  <si>
    <t>Mandatory limitation: Committee reviewers cannot record final statutory decisions.</t>
  </si>
  <si>
    <t>PERM_024</t>
  </si>
  <si>
    <t>Committee recommendations received; statutory review complete</t>
  </si>
  <si>
    <t>Sole authority empowered to formally Grant, Refuse, or Revoke Approval.</t>
  </si>
  <si>
    <t>Deduplicate or re-index permission identifiers in Permissions!A2:A39.</t>
  </si>
  <si>
    <t>TEST_004</t>
  </si>
  <si>
    <t>REFERENTIAL_INTEGRITY</t>
  </si>
  <si>
    <t>Verifies every role_id in Demo_Users exists in Roles!A2:A9 (zero dangling role references).</t>
  </si>
  <si>
    <t>PERM_025</t>
  </si>
  <si>
    <t>OFFICIAL_DECISION_ORDER</t>
  </si>
  <si>
    <t>Decision recorded; digitally signed by authorized signatory</t>
  </si>
  <si>
    <t>AICTE Statutory Order Issuance Framework; prototype rule</t>
  </si>
  <si>
    <t>Generates formal Approval/Rejection Letter with digital certification.</t>
  </si>
  <si>
    <t>PERM_026</t>
  </si>
  <si>
    <t>Executive order approved by council authority</t>
  </si>
  <si>
    <t>AICTE Executive Council Powers; prototype rule</t>
  </si>
  <si>
    <t>Authorized to approve gazetted extension of application deadlines.</t>
  </si>
  <si>
    <t>PERM_027</t>
  </si>
  <si>
    <t>Post-approval compliance or renewal stage</t>
  </si>
  <si>
    <t>AICTE APH Post-Approval Compliance &amp; Monitoring Guidelines; prototype rule</t>
  </si>
  <si>
    <t>Verifies validity of affidavits, fire safety, and land lease renewals.</t>
  </si>
  <si>
    <t>PERM_028</t>
  </si>
  <si>
    <t>Annual extension of approval (EoA) cycle active</t>
  </si>
  <si>
    <t>Remap orphaned user role assignments to authorized roles in Roles!A2:A9.</t>
  </si>
  <si>
    <t>AICTE EoA Regulatory Guidelines; prototype rule</t>
  </si>
  <si>
    <t>TEST_005</t>
  </si>
  <si>
    <t>Checks renewal documentation against continuous compliance criteria.</t>
  </si>
  <si>
    <t>Verifies every role_id in Permissions exists in Roles!A2:A9 (zero dangling role references).</t>
  </si>
  <si>
    <t>PERM_029</t>
  </si>
  <si>
    <t>Post-approval compliance violation or expired undertaking detected</t>
  </si>
  <si>
    <t>AICTE Monitoring Norms; prototype rule</t>
  </si>
  <si>
    <t>Issues notice for lapses in continuous statutory compliance.</t>
  </si>
  <si>
    <t>PERM_030</t>
  </si>
  <si>
    <t>Strictly denied: Compliance monitoring role has no decision recording mandate</t>
  </si>
  <si>
    <t>AICTE Regulations; prototype rule</t>
  </si>
  <si>
    <t>Cannot issue official approval revocation; submits findings to Competent Authority.</t>
  </si>
  <si>
    <t>Align permission role assignments with authoritative roles defined in Roles!A2:A9.</t>
  </si>
  <si>
    <t>TEST_006</t>
  </si>
  <si>
    <t>DECISION_AUTHORITY</t>
  </si>
  <si>
    <t>PERM_031</t>
  </si>
  <si>
    <t>Enforces AICTE statutory mandate: ONLY ROLE_COMPETENT_AUTH may have OFFICIAL_DECISION RECORD = TRUE.</t>
  </si>
  <si>
    <t>ROLE_CONFIGURATION</t>
  </si>
  <si>
    <t>Super-admin session authenticated with MFA</t>
  </si>
  <si>
    <t>Enterprise RBAC Security Governance; prototype rule</t>
  </si>
  <si>
    <t>Creates roles, maps permissions, and updates role definitions.</t>
  </si>
  <si>
    <t>PERM_032</t>
  </si>
  <si>
    <t>USER_ACCOUNT</t>
  </si>
  <si>
    <t>Authorized identity onboarding request verified</t>
  </si>
  <si>
    <t>Platform User Directory Governance; prototype rule</t>
  </si>
  <si>
    <t>Provisions demo accounts, resets credentials, and updates status.</t>
  </si>
  <si>
    <t>PERM_033</t>
  </si>
  <si>
    <t>AUDIT_LOG</t>
  </si>
  <si>
    <t>Administrative audit review; compliance inspection</t>
  </si>
  <si>
    <t>Enterprise Security &amp; SIEM Logging Standards; prototype rule</t>
  </si>
  <si>
    <t>Inspects immutable audit trail of all transactions and decision attempts.</t>
  </si>
  <si>
    <t>Immediately revoke OFFICIAL_DECISION recording permissions from non-statutory roles.</t>
  </si>
  <si>
    <t>TEST_007</t>
  </si>
  <si>
    <t>SOD_GOVERNANCE</t>
  </si>
  <si>
    <t>Enforces IT/SecOps segregation: ROLE_SYS_ADMIN must never hold academic or decision recording rights.</t>
  </si>
  <si>
    <t>PERM_034</t>
  </si>
  <si>
    <t>Strictly denied: System Administrator cannot execute academic or statutory approvals</t>
  </si>
  <si>
    <t>Revoke substantive regulatory and decision actions from System Administrator.</t>
  </si>
  <si>
    <t>Separation of Duties (SoD) Information Security Policy</t>
  </si>
  <si>
    <t>TEST_008</t>
  </si>
  <si>
    <t>Enforces SHC/SAC advisory limit: ROLE_COMMITTEE_REVIEWER cannot record statutory decisions.</t>
  </si>
  <si>
    <t>Strict Separation of Duties: IT administration is barred from statutory approvals.</t>
  </si>
  <si>
    <t>PERM_035</t>
  </si>
  <si>
    <t>Strictly denied: Deadline extensions require statutory Competent Authority approval</t>
  </si>
  <si>
    <t>AICTE Statutory Governance; prototype rule</t>
  </si>
  <si>
    <t>Ensure Committee Reviewer role is limited to advisory recommendations only.</t>
  </si>
  <si>
    <t>Technical administrators cannot unilaterally alter statutory deadlines.</t>
  </si>
  <si>
    <t>TEST_009</t>
  </si>
  <si>
    <t>Enforces audit log immutability: ROLE_SYS_ADMIN must never have permission to modify or delete audit logs.</t>
  </si>
  <si>
    <t>PERM_036</t>
  </si>
  <si>
    <t>Strictly denied: Intake desk has no evaluative or statutory decision power</t>
  </si>
  <si>
    <t>AICTE Act, 1987; statutory governance</t>
  </si>
  <si>
    <t>Intake officers are strictly barred from recording approval or rejection decisions.</t>
  </si>
  <si>
    <t>PERM_037</t>
  </si>
  <si>
    <t>MODIFY</t>
  </si>
  <si>
    <t>Strictly denied: Historical audit records are immutable and tamper-evident</t>
  </si>
  <si>
    <t>Separation of Duties (SoD); AICTE E-Governance Integrity Mandate</t>
  </si>
  <si>
    <t>Prohibits administrators from altering, truncating, or deleting audit logs.</t>
  </si>
  <si>
    <t>Strictly deny AUDIT_LOG MODIFY permissions in Permissions sheet.</t>
  </si>
  <si>
    <t>PERM_038</t>
  </si>
  <si>
    <t>USER_IDENTITY</t>
  </si>
  <si>
    <t>IMPERSONATE</t>
  </si>
  <si>
    <t>Strictly denied: Silent impersonation of statutory authority or applicants prohibited</t>
  </si>
  <si>
    <t>Separation of Duties (SoD); Enterprise Access Governance</t>
  </si>
  <si>
    <t>Barred from assuming identity or executing decisions on behalf of other roles.</t>
  </si>
  <si>
    <t>TEST_010</t>
  </si>
  <si>
    <t>Enforces identity integrity: ROLE_SYS_ADMIN must never have permission to silently impersonate users or roles.</t>
  </si>
  <si>
    <t>Strictly deny USER_IDENTITY IMPERSONATE permissions in Permissions sheet.</t>
  </si>
  <si>
    <t>WORKFLOW STAGE PERMISSION COVERAGE AUDIT (13 WORKFLOW STAGES)</t>
  </si>
  <si>
    <t>stage_number</t>
  </si>
  <si>
    <t>workflow_stage</t>
  </si>
  <si>
    <t>resource_target</t>
  </si>
  <si>
    <t>authorized_roles</t>
  </si>
  <si>
    <t>statutory_enforcement_mode</t>
  </si>
  <si>
    <t>audit_logging_status</t>
  </si>
  <si>
    <t>STAGE_01</t>
  </si>
  <si>
    <t>Application Submission</t>
  </si>
  <si>
    <t>RBAC + Submission Window Active</t>
  </si>
  <si>
    <t>Mandatory Audit Event (PERM_001, 002)</t>
  </si>
  <si>
    <t>STAGE_02</t>
  </si>
  <si>
    <t>Application Assignment</t>
  </si>
  <si>
    <t>RBAC + Fee Verified Status</t>
  </si>
  <si>
    <t>Mandatory Audit Event (PERM_009)</t>
  </si>
  <si>
    <t>STAGE_03</t>
  </si>
  <si>
    <t>Fee Reconciliation &amp; Verification</t>
  </si>
  <si>
    <t>ABAC + Payment Gateway Match</t>
  </si>
  <si>
    <t>Mandatory Audit Event + Reason (PERM_010)</t>
  </si>
  <si>
    <t>STAGE_04</t>
  </si>
  <si>
    <t>Document Scrutiny</t>
  </si>
  <si>
    <t>Panel Quorum + Active Scrutiny Window</t>
  </si>
  <si>
    <t>Mandatory Audit Event + Reason (PERM_013)</t>
  </si>
  <si>
    <t>STAGE_05</t>
  </si>
  <si>
    <t>Deficiency Notice Issuance</t>
  </si>
  <si>
    <t>Scrutiny Officer, Compliance Reviewer</t>
  </si>
  <si>
    <t>Norm Non-compliance Flagged</t>
  </si>
  <si>
    <t>Mandatory Audit Event + Reason (PERM_014, 029)</t>
  </si>
  <si>
    <t>STAGE_06</t>
  </si>
  <si>
    <t>Correction Uploading &amp; Review</t>
  </si>
  <si>
    <t>DEFICIENCY_CORRECTION, CORRECTION_SUBMISSION</t>
  </si>
  <si>
    <t>Institution Applicant, Scrutiny Officer</t>
  </si>
  <si>
    <t>Bounded Correction Window Active</t>
  </si>
  <si>
    <t>Mandatory Audit Event + Reason (PERM_004, 015)</t>
  </si>
  <si>
    <t>STAGE_07</t>
  </si>
  <si>
    <t>EVC Inspection Management</t>
  </si>
  <si>
    <t>EVC_INSPECTION, EVC_REPORT</t>
  </si>
  <si>
    <t>Geo-tagged Photos + Infrastructure Video</t>
  </si>
  <si>
    <t>Mandatory Audit Event + Reason (PERM_018, 019)</t>
  </si>
  <si>
    <t>STAGE_08</t>
  </si>
  <si>
    <t>Committee Recommendations</t>
  </si>
  <si>
    <t>Committee Reviewer (SHC/SAC)</t>
  </si>
  <si>
    <t>Hearing Quorum Verified; Advisory Only</t>
  </si>
  <si>
    <t>Mandatory Audit Event + Reason (PERM_022)</t>
  </si>
  <si>
    <t>STAGE_09</t>
  </si>
  <si>
    <t>Official Decision Recording</t>
  </si>
  <si>
    <t>Competent Authority / Authorised Official</t>
  </si>
  <si>
    <t>Exclusive AICTE Act Statutory Mandate</t>
  </si>
  <si>
    <t>Mandatory Audit Event + Written Reason (PERM_024)</t>
  </si>
  <si>
    <t>STAGE_10</t>
  </si>
  <si>
    <t>Statutory Order Issuance</t>
  </si>
  <si>
    <t>Digital Signature Authenticated</t>
  </si>
  <si>
    <t>Mandatory Audit Event (PERM_025)</t>
  </si>
  <si>
    <t>STAGE_11</t>
  </si>
  <si>
    <t>Post-Approval Compliance</t>
  </si>
  <si>
    <t>UNDERTAKING, DOCUMENT_RENEWAL</t>
  </si>
  <si>
    <t>Annual Extension Cycle &amp; Norm Audit</t>
  </si>
  <si>
    <t>Mandatory Audit Event + Reason (PERM_027, 028)</t>
  </si>
  <si>
    <t>STAGE_12</t>
  </si>
  <si>
    <t>Statutory Deadline Management</t>
  </si>
  <si>
    <t>Executive Council Order Required</t>
  </si>
  <si>
    <t>Mandatory Audit Event + Written Reason (PERM_026)</t>
  </si>
  <si>
    <t>STAGE_13</t>
  </si>
  <si>
    <t>Security Administration &amp; Audit Viewing</t>
  </si>
  <si>
    <t>ROLE_CONFIGURATION, USER_ACCOUNT, AUDIT_LOG</t>
  </si>
  <si>
    <t>MFA Super-Admin Session; Immutable Logs</t>
  </si>
  <si>
    <t>Mandatory Audit Event + Written Reason (PERM_031-033, 037, 038)</t>
  </si>
  <si>
    <t>sheet_name</t>
  </si>
  <si>
    <t>field_name</t>
  </si>
  <si>
    <t>data_type</t>
  </si>
  <si>
    <t>allowed_values_or_format</t>
  </si>
  <si>
    <t>description_and_relationships</t>
  </si>
  <si>
    <t>Roles</t>
  </si>
  <si>
    <t>STRING (PK)</t>
  </si>
  <si>
    <t>ROLE_[A-Z0-9_]+</t>
  </si>
  <si>
    <t>Primary key identifying the role; referenced by Permissions.role_id and Demo_Users.role_id.</t>
  </si>
  <si>
    <t>STRING</t>
  </si>
  <si>
    <t>Text (up to 100 chars)</t>
  </si>
  <si>
    <t>Human-readable title describing the organizational or portal role.</t>
  </si>
  <si>
    <t>Text</t>
  </si>
  <si>
    <t>Detailed description of duties, responsibilities, and operational scope.</t>
  </si>
  <si>
    <t>BOOLEAN</t>
  </si>
  <si>
    <t>TRUE | FALSE</t>
  </si>
  <si>
    <t>Flag denoting whether the role definition is constructed for prototype evaluation.</t>
  </si>
  <si>
    <t>Text / Citation</t>
  </si>
  <si>
    <t>Statutory regulation, AICTE APH handbook clause, or illustrative design note.</t>
  </si>
  <si>
    <t>Prototype specific boundaries, limitations, and operational context.</t>
  </si>
  <si>
    <t>Canonical Role_Code / Role_Title</t>
  </si>
  <si>
    <t>Traceable mapping to canonical workflow roles in Dataset 3 (Role_Permissions and Transition_Rules).</t>
  </si>
  <si>
    <t>Canonical Role_Code</t>
  </si>
  <si>
    <t>Traceable mapping to compliance undertaking and deadline roles in Datasets 5 and 7.</t>
  </si>
  <si>
    <t>Actor_Role &amp; User IDs</t>
  </si>
  <si>
    <t>Traceable mapping to audit event actor roles and synthetic seed user accounts in Dataset 9.</t>
  </si>
  <si>
    <t>Permissions</t>
  </si>
  <si>
    <t>PERM_[0-9]{3}</t>
  </si>
  <si>
    <t>Primary key uniquely identifying each granular access rule.</t>
  </si>
  <si>
    <t>STRING (FK)</t>
  </si>
  <si>
    <t>Must exist in Roles.role_id</t>
  </si>
  <si>
    <t>Foreign key linking permission rule to a valid role defined in the Roles sheet.</t>
  </si>
  <si>
    <t>STRING (ENUM)</t>
  </si>
  <si>
    <t>APPLICATION, DEFICIENCY_CORRECTION, UNDERTAKING, DOCUMENT_RENEWAL, APPLICATION_FEE, SCRUTINY_REPORT, DEFICIENCY_NOTICE, CORRECTION_SUBMISSION, EVC_INSPECTION, EVC_REPORT, SCRUTINY_EVC_DOSSIER, COMMITTEE_RECOMMENDATION, OFFICIAL_DECISION, OFFICIAL_DECISION_ORDER, DEADLINE, ROLE_CONFIGURATION, USER_ACCOUNT, AUDIT_LOG, USER_IDENTITY</t>
  </si>
  <si>
    <t>Protected system entity or functional subsystem subject to access control.</t>
  </si>
  <si>
    <t>CREATE, SUBMIT, VIEW, ASSIGN, VERIFY, ISSUE, REVIEW, SCHEDULE, RECORD, MANAGE, MODIFY, IMPERSONATE</t>
  </si>
  <si>
    <t>Specific operation or verb attempted on the resource.</t>
  </si>
  <si>
    <t>Access control flag: TRUE permits execution; FALSE strictly denies execution.</t>
  </si>
  <si>
    <t>Text / Context Predicates</t>
  </si>
  <si>
    <t>Attribute-based conditions (ABAC) required for authorization (e.g. ownership, quorum, active windows).</t>
  </si>
  <si>
    <t>Mandatory justification flag requiring user to input written rationale.</t>
  </si>
  <si>
    <t>Audit flag triggering immutable event logging in backend audit subsystem.</t>
  </si>
  <si>
    <t>Statutory authority basis or illustrative prototype architecture note.</t>
  </si>
  <si>
    <t>Denotes whether the rule is configured specifically for prototype demo simulation.</t>
  </si>
  <si>
    <t>Implementation notes clarifying governance constraints and prototype boundaries.</t>
  </si>
  <si>
    <t>Demo_Users</t>
  </si>
  <si>
    <t>USR_DEMO_[0-9]{3}</t>
  </si>
  <si>
    <t>Primary key uniquely identifying each fictional user account.</t>
  </si>
  <si>
    <t>Simulated persona title and institutional/departmental representation.</t>
  </si>
  <si>
    <t>Foreign key mapping the user account to an authorized role in Roles sheet.</t>
  </si>
  <si>
    <t>ACTIVE | INACTIVE | SUSPENDED</t>
  </si>
  <si>
    <t>Simulated operational state of user account for authentication flows.</t>
  </si>
  <si>
    <t>Synthetic identity marker confirming zero PII or real credentials exist.</t>
  </si>
  <si>
    <t>Testing narrative and workflow evaluation purpose for this synthetic profile.</t>
  </si>
  <si>
    <t>Validation_Report</t>
  </si>
  <si>
    <t>TEST_[0-9]{3}</t>
  </si>
  <si>
    <t>Primary key uniquely identifying the automated governance test.</t>
  </si>
  <si>
    <t>REFERENTIAL_INTEGRITY | SOD_GOVERNANCE | DECISION_AUTHORITY | DATA_SANITY</t>
  </si>
  <si>
    <t>Governance and data integrity category being audited.</t>
  </si>
  <si>
    <t>Specific operational rule, separation of duties check, or constraint evaluated.</t>
  </si>
  <si>
    <t>INTEGER</t>
  </si>
  <si>
    <t>Formula: &gt;= 0</t>
  </si>
  <si>
    <t>Real-time formula evaluating violations; 0 denotes compliance.</t>
  </si>
  <si>
    <t>PASS | FAIL</t>
  </si>
  <si>
    <t>Automated pass/fail result based on violation count.</t>
  </si>
  <si>
    <t>Prescribed remedial action if a violation or non-compliance is detected.</t>
  </si>
  <si>
    <t>Schema_Governance</t>
  </si>
  <si>
    <t>referential_integrity</t>
  </si>
  <si>
    <t>CONSTRAINT</t>
  </si>
  <si>
    <t>Permissions(role_id) &amp; Demo_Users(role_id) -&gt; Roles(role_id)</t>
  </si>
  <si>
    <t>Foreign key integrity constraint enforced across the entire prototype data model.</t>
  </si>
  <si>
    <t>separation_of_duties</t>
  </si>
  <si>
    <t>ROLE_SYS_ADMIN barred from audit tampering, decision recording, and impersonation</t>
  </si>
  <si>
    <t>Mandatory SoD security policy: Technical admins cannot alter audit logs, assume user identities, or record statutory decisions.</t>
  </si>
  <si>
    <t>decision_authority</t>
  </si>
  <si>
    <t>OFFICIAL_DECISION RECORD = TRUE strictly confined to ROLE_COMPETENT_AUTH</t>
  </si>
  <si>
    <t>Statutory governance constraint: Committee reviewers have advisory scope only; only Competent Authority holds decision disposal power.</t>
  </si>
  <si>
    <t>section</t>
  </si>
  <si>
    <t>topic</t>
  </si>
  <si>
    <t>details_and_guidelines</t>
  </si>
  <si>
    <t>Overview</t>
  </si>
  <si>
    <t>Prototype Purpose &amp; Scope</t>
  </si>
  <si>
    <t>This workbook (Dataset_8_User_roles_and_permissions) is engineered as an illustrative access control specification for SIH26262 prototype evaluation. It is NOT a definitive statement of official AICTE organizational authority.</t>
  </si>
  <si>
    <t>Architecture</t>
  </si>
  <si>
    <t>Role-Based &amp; Attribute-Based Access Control (RBAC/ABAC)</t>
  </si>
  <si>
    <t>Combines RBAC roles with ABAC contextual rules (e.g., institution ownership, quorum completion, and active calendar windows) to govern access securely.</t>
  </si>
  <si>
    <t>Statutory Limits</t>
  </si>
  <si>
    <t>Exclusive Competent Authority Decision Mandate</t>
  </si>
  <si>
    <t>CRITICAL GOVERNANCE RULE: Only the designated Competent Authority/Authorised Official role (ROLE_COMPETENT_AUTH) is authorized to record official statutory decisions (Grant, Refusal, Revocation).</t>
  </si>
  <si>
    <t>Committee Reviewer Advisory Boundary</t>
  </si>
  <si>
    <t>CRITICAL GOVERNANCE RULE: Committee Reviewers (Standing Hearing Committee / Standing Appellate Committee) record advisory recommendations only and are strictly barred from recording statutory decisions.</t>
  </si>
  <si>
    <t>Deadline &amp; Automated Event Limitations</t>
  </si>
  <si>
    <t>CRITICAL GOVERNANCE RULE: System notifications, automated alerts, and deadline expirations NEVER convey decision-making authority or auto-approve applications.</t>
  </si>
  <si>
    <t>Technical Enforcement</t>
  </si>
  <si>
    <t>Mandatory Backend Enforcement</t>
  </si>
  <si>
    <t>CRITICAL SECURITY MANDATE: Hiding UI elements or disabling buttons in the client application is strictly insufficient. Every API endpoint and microservice MUST independently validate role permissions and contextual conditions on the backend.</t>
  </si>
  <si>
    <t>Audit Trail &amp; Immutability</t>
  </si>
  <si>
    <t>All state changes, especially decision attempts, recommendation entries, and deficiency notices, must produce cryptographically sealed, immutable audit log events with actor identity, timestamp, and IP address.</t>
  </si>
  <si>
    <t>Integrity Constraints</t>
  </si>
  <si>
    <t>Referential Integrity Rule</t>
  </si>
  <si>
    <t>Strict foreign key constraints: Every role_id referenced in Permissions and Demo_Users tables must exist as a valid primary key in the Roles sheet.</t>
  </si>
  <si>
    <t>Testing &amp; Privacy</t>
  </si>
  <si>
    <t>Zero Real PII / Synthetic Credentials</t>
  </si>
  <si>
    <t>All accounts defined in Demo_Users are 100% synthetic fictional personas created solely for portal simulation. No real individual names, email credentials, or confidential PII are utilized.</t>
  </si>
  <si>
    <t>Prototype Rule Marking</t>
  </si>
  <si>
    <t>All prototype-specific rules and roles are explicitly flagged with is_demo_role = TRUE and is_demo_rule = TRUE to distinguish prototype configurations from statutory legal regulations.</t>
  </si>
  <si>
    <t>Source Lineage</t>
  </si>
  <si>
    <t>Legal &amp; Statutory Baseline</t>
  </si>
  <si>
    <t>Core workflow stages (Intake, Scrutiny, EVC, SAC/SHC Hearing, Approval Decision) follow the AICTE Act, 1987 and AICTE Approval Process Handbook (APH) governance framework.</t>
  </si>
  <si>
    <t>Illustrative Role Assignment Labeling</t>
  </si>
  <si>
    <t>Role assignments and permission granularities not explicitly mandated by statute are classified and labeled as illustrative prototype software engineering designs.</t>
  </si>
  <si>
    <t>Operational Matrix</t>
  </si>
  <si>
    <t>Application Lifecycle Coverage</t>
  </si>
  <si>
    <t>The permission matrix spans all core lifecycle stages: drafting, submission, verification, scrutiny, deficiency issuance, correction uploading, EVC inspection, recommendations, decisions, and renewal.</t>
  </si>
  <si>
    <t>Separation of Duties (SoD)</t>
  </si>
  <si>
    <t>Technical administration (ROLE_SYS_ADMIN) is segregated from substantive regulatory evaluation; admins manage users and logs but cannot record academic or statutory approvals.</t>
  </si>
  <si>
    <t>Admin Audit Immutability &amp; Impersonation Prohibition</t>
  </si>
  <si>
    <t>CRITICAL SECURITY POLICY: System Administrators are strictly barred from modifying historical audit logs (PERM_037) or silently impersonating users/roles (PERM_038) to ensure non-repudiation and prevent privilege abuse.</t>
  </si>
  <si>
    <t>Cross-Dataset Lineage</t>
  </si>
  <si>
    <t>Canonical Role Catalogue &amp; Synonym Mapping</t>
  </si>
  <si>
    <t>Workbook establishes 8 canonical role IDs linked via explicit mapping columns to Datasets 3 (Workflow), 5 (Undertakings), 7 (Deadlines), and 9 (Audit Logs) to prevent silent semantic drift.</t>
  </si>
  <si>
    <t>Exception Handling</t>
  </si>
  <si>
    <t>Deficiency &amp; Correction Window</t>
  </si>
  <si>
    <t>Institutions receiving a deficiency notice are granted a bounded window to upload compliance rectifications; unauthorized late submissions are rejected at the API gateway.</t>
  </si>
  <si>
    <t>Validation Protocol</t>
  </si>
  <si>
    <t>Automated Integrity Verification</t>
  </si>
  <si>
    <t>Automated validation checks verify 100% role_id matching between Roles, Permissions, and Demo_Users, confirming zero dangling keys and exact governance compliance.</t>
  </si>
  <si>
    <t>Deliverable Summary</t>
  </si>
  <si>
    <t>SIH26262 Prototype Deliverable</t>
  </si>
  <si>
    <t>Workbook Dataset_8_User_roles_and_permissions provides a production-grade blueprint for the SIH26262 engineering team to configure backend security policies.</t>
  </si>
  <si>
    <t>Maintenance</t>
  </si>
  <si>
    <t>Policy Lifecycle &amp; Updates</t>
  </si>
  <si>
    <t>Any modifications to permissions require administrative review, change ticket documentation, and secondary authorized official sign-off in production environments.</t>
  </si>
  <si>
    <t>Disclaimer</t>
  </si>
  <si>
    <t>Non-Statutory Disclaimer</t>
  </si>
  <si>
    <t>This document and associated datasets represent a technical prototype demonstration for the Smart India Hackathon and do not supersede official notifications published by AICTE.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</si>
</sst>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  <scheme val="minor"/>
    </font>
    <font>
      <b/>
      <sz val="10.0"/>
      <color rgb="FFFFFFFF"/>
      <name val="Roboto"/>
    </font>
    <font>
      <b/>
      <sz val="14.0"/>
      <color rgb="FFFFFFFF"/>
      <name val="Roboto"/>
    </font>
    <font>
      <i/>
      <sz val="10.0"/>
      <color rgb="FF1A1B20"/>
      <name val="Roboto"/>
    </font>
    <font>
      <b/>
      <sz val="10.0"/>
      <color rgb="FF1A1B20"/>
      <name val="Roboto"/>
    </font>
    <font>
      <b/>
      <sz val="14.0"/>
      <color rgb="FF1A1B20"/>
      <name val="Roboto"/>
    </font>
    <font>
      <sz val="10.0"/>
      <color rgb="FF1A1B20"/>
      <name val="Roboto"/>
    </font>
    <font>
      <sz val="10.0"/>
      <color theme="1"/>
      <name val="Roboto"/>
    </font>
    <font>
      <sz val="9.0"/>
      <color theme="1"/>
      <name val="Roboto"/>
    </font>
    <font>
      <b/>
      <sz val="12.0"/>
      <color rgb="FF006633"/>
      <name val="Roboto"/>
    </font>
    <font>
      <sz val="9.0"/>
      <color rgb="FF595B6B"/>
      <name val="Roboto"/>
    </font>
    <font>
      <b/>
      <sz val="11.0"/>
      <color rgb="FFFFFFF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  <fill>
      <patternFill patternType="solid">
        <fgColor rgb="FF1E293A"/>
        <bgColor rgb="FF1E293A"/>
      </patternFill>
    </fill>
    <fill>
      <patternFill patternType="solid">
        <fgColor rgb="FFDCE0FF"/>
        <bgColor rgb="FFDCE0FF"/>
      </patternFill>
    </fill>
    <fill>
      <patternFill patternType="solid">
        <fgColor rgb="FFDEE0F8"/>
        <bgColor rgb="FFDEE0F8"/>
      </patternFill>
    </fill>
    <fill>
      <patternFill patternType="solid">
        <fgColor rgb="FFF9F8FF"/>
        <bgColor rgb="FFF9F8FF"/>
      </patternFill>
    </fill>
    <fill>
      <patternFill patternType="solid">
        <fgColor rgb="FFEDECF4"/>
        <bgColor rgb="FFEDECF4"/>
      </patternFill>
    </fill>
  </fills>
  <borders count="10">
    <border/>
    <border>
      <left style="thin">
        <color rgb="FFD8D8D8"/>
      </left>
      <right style="thin">
        <color rgb="FFE0E0E0"/>
      </right>
      <top style="thin">
        <color rgb="FFD8D8D8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D8D8D8"/>
      </top>
      <bottom style="thin">
        <color rgb="FFE0E0E0"/>
      </bottom>
    </border>
    <border>
      <left style="thin">
        <color rgb="FFE0E0E0"/>
      </left>
      <right style="thin">
        <color rgb="FFD8D8D8"/>
      </right>
      <top style="thin">
        <color rgb="FFD8D8D8"/>
      </top>
      <bottom style="thin">
        <color rgb="FFE0E0E0"/>
      </bottom>
    </border>
    <border>
      <left style="thin">
        <color rgb="FFD8D8D8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D8D8D8"/>
      </right>
      <top style="thin">
        <color rgb="FFE0E0E0"/>
      </top>
      <bottom style="thin">
        <color rgb="FFE0E0E0"/>
      </bottom>
    </border>
    <border>
      <left style="thin">
        <color rgb="FFD8D8D8"/>
      </left>
      <right style="thin">
        <color rgb="FFE0E0E0"/>
      </right>
      <top style="thin">
        <color rgb="FFE0E0E0"/>
      </top>
      <bottom style="thin">
        <color rgb="FFD8D8D8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D8D8D8"/>
      </bottom>
    </border>
    <border>
      <left style="thin">
        <color rgb="FFE0E0E0"/>
      </left>
      <right style="thin">
        <color rgb="FFD8D8D8"/>
      </right>
      <top style="thin">
        <color rgb="FFE0E0E0"/>
      </top>
      <bottom style="thin">
        <color rgb="FFD8D8D8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2" fillId="2" fontId="1" numFmtId="0" xfId="0" applyAlignment="1" applyBorder="1" applyFill="1" applyFont="1">
      <alignment horizontal="left" readingOrder="0" vertical="center"/>
    </xf>
    <xf borderId="0" fillId="5" fontId="4" numFmtId="0" xfId="0" applyAlignment="1" applyFill="1" applyFont="1">
      <alignment horizontal="center" readingOrder="0" vertical="center"/>
    </xf>
    <xf borderId="3" fillId="2" fontId="1" numFmtId="0" xfId="0" applyAlignment="1" applyBorder="1" applyFill="1" applyFont="1">
      <alignment horizontal="left" readingOrder="0" vertical="center"/>
    </xf>
    <xf borderId="0" fillId="6" fontId="5" numFmtId="0" xfId="0" applyAlignment="1" applyFill="1" applyFont="1">
      <alignment horizontal="center" readingOrder="0" vertical="center"/>
    </xf>
    <xf borderId="0" fillId="0" fontId="6" numFmtId="0" xfId="0" applyFont="1"/>
    <xf borderId="4" fillId="0" fontId="7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4" fillId="0" fontId="8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0" fillId="6" fontId="5" numFmtId="0" xfId="0" applyAlignment="1" applyFill="1" applyFont="1">
      <alignment horizontal="center" vertical="center"/>
    </xf>
    <xf borderId="5" fillId="0" fontId="8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readingOrder="0" shrinkToFit="0" vertical="top" wrapText="1"/>
    </xf>
    <xf borderId="6" fillId="0" fontId="8" numFmtId="0" xfId="0" applyAlignment="1" applyBorder="1" applyFont="1">
      <alignment readingOrder="0" shrinkToFit="0" vertical="top" wrapText="1"/>
    </xf>
    <xf borderId="0" fillId="6" fontId="5" numFmtId="164" xfId="0" applyAlignment="1" applyFill="1" applyFont="1" applyNumberFormat="1">
      <alignment horizontal="center" vertical="center"/>
    </xf>
    <xf borderId="0" fillId="6" fontId="9" numFmtId="0" xfId="0" applyAlignment="1" applyFill="1" applyFont="1">
      <alignment horizontal="center" vertical="center"/>
    </xf>
    <xf borderId="7" fillId="0" fontId="7" numFmtId="0" xfId="0" applyAlignment="1" applyBorder="1" applyFont="1">
      <alignment readingOrder="0" shrinkToFit="0" vertical="top" wrapText="1"/>
    </xf>
    <xf borderId="0" fillId="7" fontId="10" numFmtId="0" xfId="0" applyAlignment="1" applyFill="1" applyFont="1">
      <alignment horizontal="center" readingOrder="0" vertical="center"/>
    </xf>
    <xf borderId="8" fillId="0" fontId="7" numFmtId="0" xfId="0" applyAlignment="1" applyBorder="1" applyFont="1">
      <alignment readingOrder="0" shrinkToFit="0" vertical="top" wrapText="1"/>
    </xf>
    <xf borderId="0" fillId="2" fontId="11" numFmtId="0" xfId="0" applyAlignment="1" applyFill="1" applyFont="1">
      <alignment horizontal="left" readingOrder="0" vertical="center"/>
    </xf>
    <xf borderId="8" fillId="0" fontId="7" numFmtId="0" xfId="0" applyAlignment="1" applyBorder="1" applyFont="1">
      <alignment horizontal="center" readingOrder="0" shrinkToFit="0" vertical="top" wrapText="1"/>
    </xf>
    <xf borderId="0" fillId="4" fontId="4" numFmtId="0" xfId="0" applyAlignment="1" applyFill="1" applyFont="1">
      <alignment horizontal="left" readingOrder="0" vertical="center"/>
    </xf>
    <xf borderId="9" fillId="0" fontId="7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7" fillId="0" fontId="8" numFmtId="0" xfId="0" applyAlignment="1" applyBorder="1" applyFont="1">
      <alignment readingOrder="0" shrinkToFit="0" vertical="top" wrapText="1"/>
    </xf>
    <xf borderId="8" fillId="0" fontId="8" numFmtId="0" xfId="0" applyAlignment="1" applyBorder="1" applyFont="1">
      <alignment readingOrder="0" shrinkToFit="0" vertical="top" wrapText="1"/>
    </xf>
    <xf borderId="8" fillId="0" fontId="8" numFmtId="0" xfId="0" applyAlignment="1" applyBorder="1" applyFont="1">
      <alignment horizontal="center" readingOrder="0" shrinkToFit="0" vertical="top" wrapText="1"/>
    </xf>
    <xf borderId="9" fillId="0" fontId="8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5">
    <dxf>
      <font>
        <b/>
        <color rgb="FF0F5133"/>
      </font>
      <fill>
        <patternFill patternType="solid">
          <fgColor rgb="FFD1EDD8"/>
          <bgColor rgb="FFD1EDD8"/>
        </patternFill>
      </fill>
      <border/>
    </dxf>
    <dxf>
      <font>
        <b/>
        <color rgb="FF842128"/>
      </font>
      <fill>
        <patternFill patternType="solid">
          <fgColor rgb="FFF7D6D8"/>
          <bgColor rgb="FFF7D6D8"/>
        </patternFill>
      </fill>
      <border/>
    </dxf>
    <dxf>
      <font>
        <b/>
        <color rgb="FF145623"/>
      </font>
      <fill>
        <patternFill patternType="solid">
          <fgColor rgb="FFD3ECDA"/>
          <bgColor rgb="FFD3ECDA"/>
        </patternFill>
      </fill>
      <border/>
    </dxf>
    <dxf>
      <font>
        <b/>
        <color rgb="FF711C23"/>
      </font>
      <fill>
        <patternFill patternType="solid">
          <fgColor rgb="FFF8D6DA"/>
          <bgColor rgb="FFF8D6DA"/>
        </patternFill>
      </fill>
      <border/>
    </dxf>
    <dxf>
      <font>
        <b/>
        <color rgb="FF1A73E8"/>
      </font>
      <fill>
        <patternFill patternType="solid">
          <fgColor rgb="FFE8EFFD"/>
          <bgColor rgb="FFE8EFF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75"/>
    <col customWidth="1" min="2" max="2" width="16.38"/>
    <col customWidth="1" min="3" max="3" width="13.88"/>
    <col customWidth="1" min="4" max="4" width="13.63"/>
    <col customWidth="1" min="5" max="5" width="23.63"/>
    <col customWidth="1" min="6" max="6" width="18.63"/>
  </cols>
  <sheetData>
    <row r="1">
      <c r="A1" s="2" t="s">
        <v>3</v>
      </c>
    </row>
    <row r="2">
      <c r="A2" s="3" t="s">
        <v>6</v>
      </c>
    </row>
    <row r="4">
      <c r="A4" s="5" t="s">
        <v>10</v>
      </c>
      <c r="B4" s="5" t="s">
        <v>15</v>
      </c>
      <c r="C4" s="5" t="s">
        <v>19</v>
      </c>
      <c r="D4" s="5" t="s">
        <v>21</v>
      </c>
      <c r="E4" s="5" t="s">
        <v>24</v>
      </c>
      <c r="F4" s="5" t="s">
        <v>25</v>
      </c>
    </row>
    <row r="5">
      <c r="A5" s="7" t="s">
        <v>26</v>
      </c>
      <c r="B5" s="14">
        <f>COUNTA(A10:A19)</f>
        <v>10</v>
      </c>
      <c r="C5" s="14">
        <f>COUNTIF(E10:E19, "PASS")</f>
        <v>10</v>
      </c>
      <c r="D5" s="14">
        <f>COUNTIF(E10:E19, "FAIL")</f>
        <v>0</v>
      </c>
      <c r="E5" s="18">
        <f>COUNTIF(E10:E19, "PASS")/COUNTA(A10:A19)</f>
        <v>1</v>
      </c>
      <c r="F5" s="19" t="str">
        <f>IF(AND(D15=0, D16=0, D17=0, D18=0, D19=0), "VERIFIED SECURE", "SOD VIOLATION")</f>
        <v>VERIFIED SECURE</v>
      </c>
    </row>
    <row r="6">
      <c r="A6" s="21" t="s">
        <v>147</v>
      </c>
      <c r="B6" s="21" t="s">
        <v>154</v>
      </c>
      <c r="C6" s="21" t="s">
        <v>157</v>
      </c>
      <c r="D6" s="21" t="s">
        <v>160</v>
      </c>
      <c r="E6" s="21" t="s">
        <v>162</v>
      </c>
      <c r="F6" s="21" t="s">
        <v>165</v>
      </c>
    </row>
    <row r="8">
      <c r="A8" s="23" t="s">
        <v>170</v>
      </c>
    </row>
    <row r="9">
      <c r="A9" s="25" t="s">
        <v>179</v>
      </c>
      <c r="B9" s="25" t="s">
        <v>187</v>
      </c>
      <c r="C9" s="25" t="s">
        <v>189</v>
      </c>
      <c r="D9" s="25" t="s">
        <v>192</v>
      </c>
      <c r="E9" s="25" t="s">
        <v>193</v>
      </c>
      <c r="F9" s="25" t="s">
        <v>194</v>
      </c>
    </row>
    <row r="10">
      <c r="A10" s="27" t="s">
        <v>196</v>
      </c>
      <c r="B10" s="27" t="s">
        <v>199</v>
      </c>
      <c r="C10" s="27" t="s">
        <v>200</v>
      </c>
      <c r="D10" s="28">
        <f t="array" ref="D10">COUNTA(Roles!A2:A9)-COUNTA(UNIQUE(Roles!A2:A9))</f>
        <v>0</v>
      </c>
      <c r="E10" s="28" t="str">
        <f t="shared" ref="E10:E19" si="1">IF(D10=0, "PASS", "FAIL")</f>
        <v>PASS</v>
      </c>
      <c r="F10" s="27" t="s">
        <v>234</v>
      </c>
    </row>
    <row r="11">
      <c r="A11" s="27" t="s">
        <v>237</v>
      </c>
      <c r="B11" s="27" t="s">
        <v>199</v>
      </c>
      <c r="C11" s="27" t="s">
        <v>238</v>
      </c>
      <c r="D11" s="28">
        <f t="array" ref="D11">COUNTA(Demo_Users!A2:A9)-COUNTA(UNIQUE(Demo_Users!A2:A9))</f>
        <v>0</v>
      </c>
      <c r="E11" s="28" t="str">
        <f t="shared" si="1"/>
        <v>PASS</v>
      </c>
      <c r="F11" s="27" t="s">
        <v>249</v>
      </c>
    </row>
    <row r="12">
      <c r="A12" s="27" t="s">
        <v>251</v>
      </c>
      <c r="B12" s="27" t="s">
        <v>199</v>
      </c>
      <c r="C12" s="27" t="s">
        <v>252</v>
      </c>
      <c r="D12" s="28">
        <f t="array" ref="D12">COUNTA(Permissions!A2:A39)-COUNTA(UNIQUE(Permissions!A2:A39))</f>
        <v>0</v>
      </c>
      <c r="E12" s="28" t="str">
        <f t="shared" si="1"/>
        <v>PASS</v>
      </c>
      <c r="F12" s="27" t="s">
        <v>259</v>
      </c>
    </row>
    <row r="13">
      <c r="A13" s="27" t="s">
        <v>260</v>
      </c>
      <c r="B13" s="27" t="s">
        <v>261</v>
      </c>
      <c r="C13" s="27" t="s">
        <v>262</v>
      </c>
      <c r="D13" s="28">
        <f>SUMPRODUCT((COUNTIF(Roles!A2:A9, Demo_Users!C2:C9)=0)*(Demo_Users!C2:C9&lt;&gt;""))</f>
        <v>0</v>
      </c>
      <c r="E13" s="28" t="str">
        <f t="shared" si="1"/>
        <v>PASS</v>
      </c>
      <c r="F13" s="27" t="s">
        <v>278</v>
      </c>
    </row>
    <row r="14">
      <c r="A14" s="27" t="s">
        <v>280</v>
      </c>
      <c r="B14" s="27" t="s">
        <v>261</v>
      </c>
      <c r="C14" s="27" t="s">
        <v>282</v>
      </c>
      <c r="D14" s="28">
        <f>SUMPRODUCT((COUNTIF(Roles!A2:A9, Permissions!B2:B39)=0)*(Permissions!B2:B39&lt;&gt;""))</f>
        <v>0</v>
      </c>
      <c r="E14" s="28" t="str">
        <f t="shared" si="1"/>
        <v>PASS</v>
      </c>
      <c r="F14" s="27" t="s">
        <v>291</v>
      </c>
    </row>
    <row r="15">
      <c r="A15" s="27" t="s">
        <v>292</v>
      </c>
      <c r="B15" s="27" t="s">
        <v>293</v>
      </c>
      <c r="C15" s="27" t="s">
        <v>295</v>
      </c>
      <c r="D15" s="28">
        <f>COUNTIFS(Permissions!C2:C39, "OFFICIAL_DECISION", Permissions!D2:D39, "RECORD", Permissions!E2:E39, TRUE, Permissions!B2:B39, "&lt;&gt;ROLE_COMPETENT_AUTH")</f>
        <v>0</v>
      </c>
      <c r="E15" s="28" t="str">
        <f t="shared" si="1"/>
        <v>PASS</v>
      </c>
      <c r="F15" s="27" t="s">
        <v>310</v>
      </c>
    </row>
    <row r="16">
      <c r="A16" s="27" t="s">
        <v>311</v>
      </c>
      <c r="B16" s="27" t="s">
        <v>312</v>
      </c>
      <c r="C16" s="27" t="s">
        <v>313</v>
      </c>
      <c r="D16" s="28">
        <f>COUNTIFS(Permissions!B2:B39, "ROLE_SYS_ADMIN", Permissions!C2:C39, "OFFICIAL_DECISION", Permissions!E2:E39, TRUE)</f>
        <v>0</v>
      </c>
      <c r="E16" s="28" t="str">
        <f t="shared" si="1"/>
        <v>PASS</v>
      </c>
      <c r="F16" s="27" t="s">
        <v>316</v>
      </c>
    </row>
    <row r="17">
      <c r="A17" s="27" t="s">
        <v>318</v>
      </c>
      <c r="B17" s="27" t="s">
        <v>312</v>
      </c>
      <c r="C17" s="27" t="s">
        <v>319</v>
      </c>
      <c r="D17" s="28">
        <f>COUNTIFS(Permissions!B2:B39, "ROLE_COMMITTEE_REVIEWER", Permissions!C2:C39, "OFFICIAL_DECISION", Permissions!E2:E39, TRUE)</f>
        <v>0</v>
      </c>
      <c r="E17" s="28" t="str">
        <f t="shared" si="1"/>
        <v>PASS</v>
      </c>
      <c r="F17" s="27" t="s">
        <v>324</v>
      </c>
    </row>
    <row r="18">
      <c r="A18" s="27" t="s">
        <v>326</v>
      </c>
      <c r="B18" s="27" t="s">
        <v>312</v>
      </c>
      <c r="C18" s="27" t="s">
        <v>327</v>
      </c>
      <c r="D18" s="28">
        <f>COUNTIFS(Permissions!B2:B39, "ROLE_SYS_ADMIN", Permissions!C2:C39, "AUDIT_LOG", Permissions!D2:D39, "MODIFY", Permissions!E2:E39, TRUE)</f>
        <v>0</v>
      </c>
      <c r="E18" s="28" t="str">
        <f t="shared" si="1"/>
        <v>PASS</v>
      </c>
      <c r="F18" s="27" t="s">
        <v>337</v>
      </c>
    </row>
    <row r="19">
      <c r="A19" s="27" t="s">
        <v>344</v>
      </c>
      <c r="B19" s="27" t="s">
        <v>312</v>
      </c>
      <c r="C19" s="27" t="s">
        <v>345</v>
      </c>
      <c r="D19" s="28">
        <f>COUNTIFS(Permissions!B2:B39, "ROLE_SYS_ADMIN", Permissions!C2:C39, "USER_IDENTITY", Permissions!D2:D39, "IMPERSONATE", Permissions!E2:E39, TRUE)</f>
        <v>0</v>
      </c>
      <c r="E19" s="28" t="str">
        <f t="shared" si="1"/>
        <v>PASS</v>
      </c>
      <c r="F19" s="27" t="s">
        <v>346</v>
      </c>
    </row>
    <row r="21">
      <c r="A21" s="23" t="s">
        <v>347</v>
      </c>
    </row>
    <row r="22">
      <c r="A22" s="25" t="s">
        <v>348</v>
      </c>
      <c r="B22" s="25" t="s">
        <v>349</v>
      </c>
      <c r="C22" s="25" t="s">
        <v>350</v>
      </c>
      <c r="D22" s="25" t="s">
        <v>351</v>
      </c>
      <c r="E22" s="25" t="s">
        <v>352</v>
      </c>
      <c r="F22" s="25" t="s">
        <v>353</v>
      </c>
    </row>
    <row r="23">
      <c r="A23" s="33" t="s">
        <v>354</v>
      </c>
      <c r="B23" s="33" t="s">
        <v>355</v>
      </c>
      <c r="C23" s="33" t="s">
        <v>37</v>
      </c>
      <c r="D23" s="33" t="s">
        <v>32</v>
      </c>
      <c r="E23" s="33" t="s">
        <v>356</v>
      </c>
      <c r="F23" s="33" t="s">
        <v>357</v>
      </c>
    </row>
    <row r="24">
      <c r="A24" s="33" t="s">
        <v>358</v>
      </c>
      <c r="B24" s="33" t="s">
        <v>359</v>
      </c>
      <c r="C24" s="33" t="s">
        <v>37</v>
      </c>
      <c r="D24" s="33" t="s">
        <v>55</v>
      </c>
      <c r="E24" s="33" t="s">
        <v>360</v>
      </c>
      <c r="F24" s="33" t="s">
        <v>361</v>
      </c>
    </row>
    <row r="25">
      <c r="A25" s="33" t="s">
        <v>362</v>
      </c>
      <c r="B25" s="33" t="s">
        <v>363</v>
      </c>
      <c r="C25" s="33" t="s">
        <v>141</v>
      </c>
      <c r="D25" s="33" t="s">
        <v>55</v>
      </c>
      <c r="E25" s="33" t="s">
        <v>364</v>
      </c>
      <c r="F25" s="33" t="s">
        <v>365</v>
      </c>
    </row>
    <row r="26">
      <c r="A26" s="33" t="s">
        <v>366</v>
      </c>
      <c r="B26" s="33" t="s">
        <v>367</v>
      </c>
      <c r="C26" s="33" t="s">
        <v>174</v>
      </c>
      <c r="D26" s="33" t="s">
        <v>73</v>
      </c>
      <c r="E26" s="33" t="s">
        <v>368</v>
      </c>
      <c r="F26" s="33" t="s">
        <v>369</v>
      </c>
    </row>
    <row r="27">
      <c r="A27" s="33" t="s">
        <v>370</v>
      </c>
      <c r="B27" s="33" t="s">
        <v>371</v>
      </c>
      <c r="C27" s="33" t="s">
        <v>186</v>
      </c>
      <c r="D27" s="33" t="s">
        <v>372</v>
      </c>
      <c r="E27" s="33" t="s">
        <v>373</v>
      </c>
      <c r="F27" s="33" t="s">
        <v>374</v>
      </c>
    </row>
    <row r="28">
      <c r="A28" s="33" t="s">
        <v>375</v>
      </c>
      <c r="B28" s="33" t="s">
        <v>376</v>
      </c>
      <c r="C28" s="33" t="s">
        <v>377</v>
      </c>
      <c r="D28" s="33" t="s">
        <v>378</v>
      </c>
      <c r="E28" s="33" t="s">
        <v>379</v>
      </c>
      <c r="F28" s="33" t="s">
        <v>380</v>
      </c>
    </row>
    <row r="29">
      <c r="A29" s="33" t="s">
        <v>381</v>
      </c>
      <c r="B29" s="33" t="s">
        <v>382</v>
      </c>
      <c r="C29" s="33" t="s">
        <v>383</v>
      </c>
      <c r="D29" s="33" t="s">
        <v>97</v>
      </c>
      <c r="E29" s="33" t="s">
        <v>384</v>
      </c>
      <c r="F29" s="33" t="s">
        <v>385</v>
      </c>
    </row>
    <row r="30">
      <c r="A30" s="33" t="s">
        <v>386</v>
      </c>
      <c r="B30" s="33" t="s">
        <v>387</v>
      </c>
      <c r="C30" s="33" t="s">
        <v>245</v>
      </c>
      <c r="D30" s="33" t="s">
        <v>388</v>
      </c>
      <c r="E30" s="33" t="s">
        <v>389</v>
      </c>
      <c r="F30" s="33" t="s">
        <v>390</v>
      </c>
    </row>
    <row r="31">
      <c r="A31" s="33" t="s">
        <v>391</v>
      </c>
      <c r="B31" s="33" t="s">
        <v>392</v>
      </c>
      <c r="C31" s="33" t="s">
        <v>112</v>
      </c>
      <c r="D31" s="33" t="s">
        <v>393</v>
      </c>
      <c r="E31" s="33" t="s">
        <v>394</v>
      </c>
      <c r="F31" s="33" t="s">
        <v>395</v>
      </c>
    </row>
    <row r="32">
      <c r="A32" s="33" t="s">
        <v>396</v>
      </c>
      <c r="B32" s="33" t="s">
        <v>397</v>
      </c>
      <c r="C32" s="33" t="s">
        <v>264</v>
      </c>
      <c r="D32" s="33" t="s">
        <v>393</v>
      </c>
      <c r="E32" s="33" t="s">
        <v>398</v>
      </c>
      <c r="F32" s="33" t="s">
        <v>399</v>
      </c>
    </row>
    <row r="33">
      <c r="A33" s="33" t="s">
        <v>400</v>
      </c>
      <c r="B33" s="33" t="s">
        <v>401</v>
      </c>
      <c r="C33" s="33" t="s">
        <v>402</v>
      </c>
      <c r="D33" s="33" t="s">
        <v>173</v>
      </c>
      <c r="E33" s="33" t="s">
        <v>403</v>
      </c>
      <c r="F33" s="33" t="s">
        <v>404</v>
      </c>
    </row>
    <row r="34">
      <c r="A34" s="33" t="s">
        <v>405</v>
      </c>
      <c r="B34" s="33" t="s">
        <v>406</v>
      </c>
      <c r="C34" s="33" t="s">
        <v>149</v>
      </c>
      <c r="D34" s="33" t="s">
        <v>393</v>
      </c>
      <c r="E34" s="33" t="s">
        <v>407</v>
      </c>
      <c r="F34" s="33" t="s">
        <v>408</v>
      </c>
    </row>
    <row r="35">
      <c r="A35" s="33" t="s">
        <v>409</v>
      </c>
      <c r="B35" s="33" t="s">
        <v>410</v>
      </c>
      <c r="C35" s="33" t="s">
        <v>411</v>
      </c>
      <c r="D35" s="33" t="s">
        <v>197</v>
      </c>
      <c r="E35" s="33" t="s">
        <v>412</v>
      </c>
      <c r="F35" s="33" t="s">
        <v>413</v>
      </c>
    </row>
  </sheetData>
  <mergeCells count="4">
    <mergeCell ref="A1:F1"/>
    <mergeCell ref="A2:F2"/>
    <mergeCell ref="A8:F8"/>
    <mergeCell ref="A21:F21"/>
  </mergeCells>
  <conditionalFormatting sqref="E10:E19">
    <cfRule type="cellIs" dxfId="0" priority="1" stopIfTrue="1" operator="equal">
      <formula>"PASS"</formula>
    </cfRule>
  </conditionalFormatting>
  <conditionalFormatting sqref="E10:E19">
    <cfRule type="cellIs" dxfId="1" priority="2" stopIfTrue="1" operator="equal">
      <formula>"FAIL"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30.0"/>
    <col customWidth="1" min="3" max="3" width="107.88"/>
    <col customWidth="1" min="4" max="4" width="11.13"/>
    <col customWidth="1" min="5" max="5" width="65.13"/>
    <col customWidth="1" min="6" max="6" width="72.25"/>
    <col customWidth="1" min="7" max="7" width="16.0"/>
    <col customWidth="1" min="8" max="8" width="18.63"/>
    <col customWidth="1" min="9" max="9" width="16.0"/>
  </cols>
  <sheetData>
    <row r="1">
      <c r="A1" s="1" t="s">
        <v>0</v>
      </c>
      <c r="B1" s="4" t="s">
        <v>4</v>
      </c>
      <c r="C1" s="4" t="s">
        <v>14</v>
      </c>
      <c r="D1" s="4" t="s">
        <v>18</v>
      </c>
      <c r="E1" s="4" t="s">
        <v>20</v>
      </c>
      <c r="F1" s="6" t="s">
        <v>23</v>
      </c>
      <c r="G1" s="1" t="s">
        <v>27</v>
      </c>
      <c r="H1" s="1" t="s">
        <v>28</v>
      </c>
      <c r="I1" s="1" t="s">
        <v>29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9" t="s">
        <v>31</v>
      </c>
      <c r="B2" s="10" t="s">
        <v>32</v>
      </c>
      <c r="C2" s="10" t="s">
        <v>35</v>
      </c>
      <c r="D2" s="12" t="b">
        <v>1</v>
      </c>
      <c r="E2" s="10" t="s">
        <v>39</v>
      </c>
      <c r="F2" s="16" t="s">
        <v>40</v>
      </c>
      <c r="G2" s="9" t="s">
        <v>42</v>
      </c>
      <c r="H2" s="9" t="s">
        <v>45</v>
      </c>
      <c r="I2" s="9" t="s">
        <v>47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9" t="s">
        <v>53</v>
      </c>
      <c r="B3" s="10" t="s">
        <v>55</v>
      </c>
      <c r="C3" s="10" t="s">
        <v>57</v>
      </c>
      <c r="D3" s="12" t="b">
        <v>1</v>
      </c>
      <c r="E3" s="10" t="s">
        <v>59</v>
      </c>
      <c r="F3" s="16" t="s">
        <v>61</v>
      </c>
      <c r="G3" s="9" t="s">
        <v>63</v>
      </c>
      <c r="H3" s="9" t="s">
        <v>66</v>
      </c>
      <c r="I3" s="9" t="s">
        <v>69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9" t="s">
        <v>71</v>
      </c>
      <c r="B4" s="10" t="s">
        <v>73</v>
      </c>
      <c r="C4" s="10" t="s">
        <v>74</v>
      </c>
      <c r="D4" s="12" t="b">
        <v>1</v>
      </c>
      <c r="E4" s="10" t="s">
        <v>77</v>
      </c>
      <c r="F4" s="16" t="s">
        <v>79</v>
      </c>
      <c r="G4" s="9" t="s">
        <v>81</v>
      </c>
      <c r="H4" s="9" t="s">
        <v>82</v>
      </c>
      <c r="I4" s="9" t="s">
        <v>84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9" t="s">
        <v>87</v>
      </c>
      <c r="B5" s="10" t="s">
        <v>97</v>
      </c>
      <c r="C5" s="10" t="s">
        <v>99</v>
      </c>
      <c r="D5" s="12" t="b">
        <v>1</v>
      </c>
      <c r="E5" s="10" t="s">
        <v>102</v>
      </c>
      <c r="F5" s="16" t="s">
        <v>104</v>
      </c>
      <c r="G5" s="9" t="s">
        <v>105</v>
      </c>
      <c r="H5" s="9" t="s">
        <v>107</v>
      </c>
      <c r="I5" s="9" t="s">
        <v>108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9" t="s">
        <v>96</v>
      </c>
      <c r="B6" s="10" t="s">
        <v>120</v>
      </c>
      <c r="C6" s="10" t="s">
        <v>121</v>
      </c>
      <c r="D6" s="12" t="b">
        <v>1</v>
      </c>
      <c r="E6" s="10" t="s">
        <v>123</v>
      </c>
      <c r="F6" s="16" t="s">
        <v>131</v>
      </c>
      <c r="G6" s="9" t="s">
        <v>133</v>
      </c>
      <c r="H6" s="9" t="s">
        <v>135</v>
      </c>
      <c r="I6" s="9" t="s">
        <v>138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9" t="s">
        <v>113</v>
      </c>
      <c r="B7" s="10" t="s">
        <v>148</v>
      </c>
      <c r="C7" s="10" t="s">
        <v>152</v>
      </c>
      <c r="D7" s="12" t="b">
        <v>1</v>
      </c>
      <c r="E7" s="10" t="s">
        <v>156</v>
      </c>
      <c r="F7" s="16" t="s">
        <v>159</v>
      </c>
      <c r="G7" s="9" t="s">
        <v>161</v>
      </c>
      <c r="H7" s="9" t="s">
        <v>164</v>
      </c>
      <c r="I7" s="9" t="s">
        <v>167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128</v>
      </c>
      <c r="B8" s="10" t="s">
        <v>173</v>
      </c>
      <c r="C8" s="10" t="s">
        <v>175</v>
      </c>
      <c r="D8" s="12" t="b">
        <v>1</v>
      </c>
      <c r="E8" s="10" t="s">
        <v>177</v>
      </c>
      <c r="F8" s="16" t="s">
        <v>180</v>
      </c>
      <c r="G8" s="9" t="s">
        <v>182</v>
      </c>
      <c r="H8" s="9" t="s">
        <v>183</v>
      </c>
      <c r="I8" s="9" t="s">
        <v>185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20" t="s">
        <v>166</v>
      </c>
      <c r="B9" s="22" t="s">
        <v>197</v>
      </c>
      <c r="C9" s="22" t="s">
        <v>202</v>
      </c>
      <c r="D9" s="24" t="b">
        <v>1</v>
      </c>
      <c r="E9" s="22" t="s">
        <v>209</v>
      </c>
      <c r="F9" s="26" t="s">
        <v>212</v>
      </c>
      <c r="G9" s="9" t="s">
        <v>214</v>
      </c>
      <c r="H9" s="9" t="s">
        <v>216</v>
      </c>
      <c r="I9" s="9" t="s">
        <v>217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1.0"/>
    <col customWidth="1" min="3" max="3" width="22.13"/>
    <col customWidth="1" min="4" max="4" width="8.13"/>
    <col customWidth="1" min="5" max="5" width="16.13"/>
    <col customWidth="1" min="6" max="6" width="65.63"/>
    <col customWidth="1" min="7" max="7" width="13.25"/>
    <col customWidth="1" min="8" max="8" width="16.25"/>
    <col customWidth="1" min="9" max="9" width="50.88"/>
    <col customWidth="1" min="10" max="10" width="11.13"/>
    <col customWidth="1" min="11" max="11" width="54.63"/>
  </cols>
  <sheetData>
    <row r="1">
      <c r="A1" s="1" t="s">
        <v>1</v>
      </c>
      <c r="B1" s="4" t="s">
        <v>0</v>
      </c>
      <c r="C1" s="4" t="s">
        <v>7</v>
      </c>
      <c r="D1" s="4" t="s">
        <v>8</v>
      </c>
      <c r="E1" s="4" t="s">
        <v>9</v>
      </c>
      <c r="F1" s="4" t="s">
        <v>11</v>
      </c>
      <c r="G1" s="4" t="s">
        <v>13</v>
      </c>
      <c r="H1" s="4" t="s">
        <v>16</v>
      </c>
      <c r="I1" s="4" t="s">
        <v>20</v>
      </c>
      <c r="J1" s="4" t="s">
        <v>22</v>
      </c>
      <c r="K1" s="6" t="s">
        <v>23</v>
      </c>
      <c r="L1" s="8"/>
      <c r="M1" s="8"/>
      <c r="N1" s="8"/>
      <c r="O1" s="8"/>
      <c r="P1" s="8"/>
      <c r="Q1" s="8"/>
      <c r="R1" s="8"/>
      <c r="S1" s="8"/>
      <c r="T1" s="8"/>
    </row>
    <row r="2">
      <c r="A2" s="11" t="s">
        <v>34</v>
      </c>
      <c r="B2" s="13" t="s">
        <v>31</v>
      </c>
      <c r="C2" s="13" t="s">
        <v>37</v>
      </c>
      <c r="D2" s="13" t="s">
        <v>38</v>
      </c>
      <c r="E2" s="15" t="b">
        <v>1</v>
      </c>
      <c r="F2" s="13" t="s">
        <v>41</v>
      </c>
      <c r="G2" s="15" t="b">
        <v>0</v>
      </c>
      <c r="H2" s="15" t="b">
        <v>1</v>
      </c>
      <c r="I2" s="13" t="s">
        <v>43</v>
      </c>
      <c r="J2" s="15" t="b">
        <v>1</v>
      </c>
      <c r="K2" s="17" t="s">
        <v>46</v>
      </c>
      <c r="L2" s="8"/>
      <c r="M2" s="8"/>
      <c r="N2" s="8"/>
      <c r="O2" s="8"/>
      <c r="P2" s="8"/>
      <c r="Q2" s="8"/>
      <c r="R2" s="8"/>
      <c r="S2" s="8"/>
      <c r="T2" s="8"/>
    </row>
    <row r="3">
      <c r="A3" s="11" t="s">
        <v>48</v>
      </c>
      <c r="B3" s="13" t="s">
        <v>31</v>
      </c>
      <c r="C3" s="13" t="s">
        <v>37</v>
      </c>
      <c r="D3" s="13" t="s">
        <v>51</v>
      </c>
      <c r="E3" s="15" t="b">
        <v>1</v>
      </c>
      <c r="F3" s="13" t="s">
        <v>52</v>
      </c>
      <c r="G3" s="15" t="b">
        <v>0</v>
      </c>
      <c r="H3" s="15" t="b">
        <v>1</v>
      </c>
      <c r="I3" s="13" t="s">
        <v>43</v>
      </c>
      <c r="J3" s="15" t="b">
        <v>1</v>
      </c>
      <c r="K3" s="17" t="s">
        <v>54</v>
      </c>
      <c r="L3" s="8"/>
      <c r="M3" s="8"/>
      <c r="N3" s="8"/>
      <c r="O3" s="8"/>
      <c r="P3" s="8"/>
      <c r="Q3" s="8"/>
      <c r="R3" s="8"/>
      <c r="S3" s="8"/>
      <c r="T3" s="8"/>
    </row>
    <row r="4">
      <c r="A4" s="11" t="s">
        <v>58</v>
      </c>
      <c r="B4" s="13" t="s">
        <v>31</v>
      </c>
      <c r="C4" s="13" t="s">
        <v>37</v>
      </c>
      <c r="D4" s="13" t="s">
        <v>60</v>
      </c>
      <c r="E4" s="15" t="b">
        <v>1</v>
      </c>
      <c r="F4" s="13" t="s">
        <v>62</v>
      </c>
      <c r="G4" s="15" t="b">
        <v>0</v>
      </c>
      <c r="H4" s="15" t="b">
        <v>0</v>
      </c>
      <c r="I4" s="13" t="s">
        <v>64</v>
      </c>
      <c r="J4" s="15" t="b">
        <v>1</v>
      </c>
      <c r="K4" s="17" t="s">
        <v>67</v>
      </c>
      <c r="L4" s="8"/>
      <c r="M4" s="8"/>
      <c r="N4" s="8"/>
      <c r="O4" s="8"/>
      <c r="P4" s="8"/>
      <c r="Q4" s="8"/>
      <c r="R4" s="8"/>
      <c r="S4" s="8"/>
      <c r="T4" s="8"/>
    </row>
    <row r="5">
      <c r="A5" s="11" t="s">
        <v>70</v>
      </c>
      <c r="B5" s="13" t="s">
        <v>31</v>
      </c>
      <c r="C5" s="13" t="s">
        <v>72</v>
      </c>
      <c r="D5" s="13" t="s">
        <v>51</v>
      </c>
      <c r="E5" s="15" t="b">
        <v>1</v>
      </c>
      <c r="F5" s="13" t="s">
        <v>75</v>
      </c>
      <c r="G5" s="15" t="b">
        <v>1</v>
      </c>
      <c r="H5" s="15" t="b">
        <v>1</v>
      </c>
      <c r="I5" s="13" t="s">
        <v>78</v>
      </c>
      <c r="J5" s="15" t="b">
        <v>1</v>
      </c>
      <c r="K5" s="17" t="s">
        <v>80</v>
      </c>
      <c r="L5" s="8"/>
      <c r="M5" s="8"/>
      <c r="N5" s="8"/>
      <c r="O5" s="8"/>
      <c r="P5" s="8"/>
      <c r="Q5" s="8"/>
      <c r="R5" s="8"/>
      <c r="S5" s="8"/>
      <c r="T5" s="8"/>
    </row>
    <row r="6">
      <c r="A6" s="11" t="s">
        <v>86</v>
      </c>
      <c r="B6" s="13" t="s">
        <v>31</v>
      </c>
      <c r="C6" s="13" t="s">
        <v>88</v>
      </c>
      <c r="D6" s="13" t="s">
        <v>51</v>
      </c>
      <c r="E6" s="15" t="b">
        <v>1</v>
      </c>
      <c r="F6" s="13" t="s">
        <v>90</v>
      </c>
      <c r="G6" s="15" t="b">
        <v>0</v>
      </c>
      <c r="H6" s="15" t="b">
        <v>1</v>
      </c>
      <c r="I6" s="13" t="s">
        <v>91</v>
      </c>
      <c r="J6" s="15" t="b">
        <v>1</v>
      </c>
      <c r="K6" s="17" t="s">
        <v>92</v>
      </c>
      <c r="L6" s="8"/>
      <c r="M6" s="8"/>
      <c r="N6" s="8"/>
      <c r="O6" s="8"/>
      <c r="P6" s="8"/>
      <c r="Q6" s="8"/>
      <c r="R6" s="8"/>
      <c r="S6" s="8"/>
      <c r="T6" s="8"/>
    </row>
    <row r="7">
      <c r="A7" s="11" t="s">
        <v>94</v>
      </c>
      <c r="B7" s="13" t="s">
        <v>31</v>
      </c>
      <c r="C7" s="13" t="s">
        <v>98</v>
      </c>
      <c r="D7" s="13" t="s">
        <v>51</v>
      </c>
      <c r="E7" s="15" t="b">
        <v>1</v>
      </c>
      <c r="F7" s="13" t="s">
        <v>101</v>
      </c>
      <c r="G7" s="15" t="b">
        <v>0</v>
      </c>
      <c r="H7" s="15" t="b">
        <v>1</v>
      </c>
      <c r="I7" s="13" t="s">
        <v>103</v>
      </c>
      <c r="J7" s="15" t="b">
        <v>1</v>
      </c>
      <c r="K7" s="17" t="s">
        <v>106</v>
      </c>
      <c r="L7" s="8"/>
      <c r="M7" s="8"/>
      <c r="N7" s="8"/>
      <c r="O7" s="8"/>
      <c r="P7" s="8"/>
      <c r="Q7" s="8"/>
      <c r="R7" s="8"/>
      <c r="S7" s="8"/>
      <c r="T7" s="8"/>
    </row>
    <row r="8">
      <c r="A8" s="11" t="s">
        <v>110</v>
      </c>
      <c r="B8" s="13" t="s">
        <v>31</v>
      </c>
      <c r="C8" s="13" t="s">
        <v>112</v>
      </c>
      <c r="D8" s="13" t="s">
        <v>114</v>
      </c>
      <c r="E8" s="15" t="b">
        <v>0</v>
      </c>
      <c r="F8" s="13" t="s">
        <v>115</v>
      </c>
      <c r="G8" s="15" t="b">
        <v>0</v>
      </c>
      <c r="H8" s="15" t="b">
        <v>1</v>
      </c>
      <c r="I8" s="13" t="s">
        <v>116</v>
      </c>
      <c r="J8" s="15" t="b">
        <v>1</v>
      </c>
      <c r="K8" s="17" t="s">
        <v>118</v>
      </c>
      <c r="L8" s="8"/>
      <c r="M8" s="8"/>
      <c r="N8" s="8"/>
      <c r="O8" s="8"/>
      <c r="P8" s="8"/>
      <c r="Q8" s="8"/>
      <c r="R8" s="8"/>
      <c r="S8" s="8"/>
      <c r="T8" s="8"/>
    </row>
    <row r="9">
      <c r="A9" s="11" t="s">
        <v>119</v>
      </c>
      <c r="B9" s="13" t="s">
        <v>53</v>
      </c>
      <c r="C9" s="13" t="s">
        <v>37</v>
      </c>
      <c r="D9" s="13" t="s">
        <v>60</v>
      </c>
      <c r="E9" s="15" t="b">
        <v>1</v>
      </c>
      <c r="F9" s="13" t="s">
        <v>122</v>
      </c>
      <c r="G9" s="15" t="b">
        <v>0</v>
      </c>
      <c r="H9" s="15" t="b">
        <v>0</v>
      </c>
      <c r="I9" s="13" t="s">
        <v>125</v>
      </c>
      <c r="J9" s="15" t="b">
        <v>1</v>
      </c>
      <c r="K9" s="17" t="s">
        <v>127</v>
      </c>
      <c r="L9" s="8"/>
      <c r="M9" s="8"/>
      <c r="N9" s="8"/>
      <c r="O9" s="8"/>
      <c r="P9" s="8"/>
      <c r="Q9" s="8"/>
      <c r="R9" s="8"/>
      <c r="S9" s="8"/>
      <c r="T9" s="8"/>
    </row>
    <row r="10">
      <c r="A10" s="11" t="s">
        <v>130</v>
      </c>
      <c r="B10" s="13" t="s">
        <v>53</v>
      </c>
      <c r="C10" s="13" t="s">
        <v>37</v>
      </c>
      <c r="D10" s="13" t="s">
        <v>132</v>
      </c>
      <c r="E10" s="15" t="b">
        <v>1</v>
      </c>
      <c r="F10" s="13" t="s">
        <v>134</v>
      </c>
      <c r="G10" s="15" t="b">
        <v>0</v>
      </c>
      <c r="H10" s="15" t="b">
        <v>1</v>
      </c>
      <c r="I10" s="13" t="s">
        <v>136</v>
      </c>
      <c r="J10" s="15" t="b">
        <v>1</v>
      </c>
      <c r="K10" s="17" t="s">
        <v>137</v>
      </c>
      <c r="L10" s="8"/>
      <c r="M10" s="8"/>
      <c r="N10" s="8"/>
      <c r="O10" s="8"/>
      <c r="P10" s="8"/>
      <c r="Q10" s="8"/>
      <c r="R10" s="8"/>
      <c r="S10" s="8"/>
      <c r="T10" s="8"/>
    </row>
    <row r="11">
      <c r="A11" s="11" t="s">
        <v>140</v>
      </c>
      <c r="B11" s="13" t="s">
        <v>53</v>
      </c>
      <c r="C11" s="13" t="s">
        <v>141</v>
      </c>
      <c r="D11" s="13" t="s">
        <v>142</v>
      </c>
      <c r="E11" s="15" t="b">
        <v>1</v>
      </c>
      <c r="F11" s="13" t="s">
        <v>143</v>
      </c>
      <c r="G11" s="15" t="b">
        <v>1</v>
      </c>
      <c r="H11" s="15" t="b">
        <v>1</v>
      </c>
      <c r="I11" s="13" t="s">
        <v>144</v>
      </c>
      <c r="J11" s="15" t="b">
        <v>1</v>
      </c>
      <c r="K11" s="17" t="s">
        <v>145</v>
      </c>
      <c r="L11" s="8"/>
      <c r="M11" s="8"/>
      <c r="N11" s="8"/>
      <c r="O11" s="8"/>
      <c r="P11" s="8"/>
      <c r="Q11" s="8"/>
      <c r="R11" s="8"/>
      <c r="S11" s="8"/>
      <c r="T11" s="8"/>
    </row>
    <row r="12">
      <c r="A12" s="11" t="s">
        <v>146</v>
      </c>
      <c r="B12" s="13" t="s">
        <v>53</v>
      </c>
      <c r="C12" s="13" t="s">
        <v>149</v>
      </c>
      <c r="D12" s="13" t="s">
        <v>150</v>
      </c>
      <c r="E12" s="15" t="b">
        <v>0</v>
      </c>
      <c r="F12" s="13" t="s">
        <v>153</v>
      </c>
      <c r="G12" s="15" t="b">
        <v>0</v>
      </c>
      <c r="H12" s="15" t="b">
        <v>1</v>
      </c>
      <c r="I12" s="13" t="s">
        <v>155</v>
      </c>
      <c r="J12" s="15" t="b">
        <v>1</v>
      </c>
      <c r="K12" s="17" t="s">
        <v>158</v>
      </c>
      <c r="L12" s="8"/>
      <c r="M12" s="8"/>
      <c r="N12" s="8"/>
      <c r="O12" s="8"/>
      <c r="P12" s="8"/>
      <c r="Q12" s="8"/>
      <c r="R12" s="8"/>
      <c r="S12" s="8"/>
      <c r="T12" s="8"/>
    </row>
    <row r="13">
      <c r="A13" s="11" t="s">
        <v>163</v>
      </c>
      <c r="B13" s="13" t="s">
        <v>71</v>
      </c>
      <c r="C13" s="13" t="s">
        <v>37</v>
      </c>
      <c r="D13" s="13" t="s">
        <v>60</v>
      </c>
      <c r="E13" s="15" t="b">
        <v>1</v>
      </c>
      <c r="F13" s="13" t="s">
        <v>168</v>
      </c>
      <c r="G13" s="15" t="b">
        <v>0</v>
      </c>
      <c r="H13" s="15" t="b">
        <v>0</v>
      </c>
      <c r="I13" s="13" t="s">
        <v>169</v>
      </c>
      <c r="J13" s="15" t="b">
        <v>1</v>
      </c>
      <c r="K13" s="17" t="s">
        <v>171</v>
      </c>
      <c r="L13" s="8"/>
      <c r="M13" s="8"/>
      <c r="N13" s="8"/>
      <c r="O13" s="8"/>
      <c r="P13" s="8"/>
      <c r="Q13" s="8"/>
      <c r="R13" s="8"/>
      <c r="S13" s="8"/>
      <c r="T13" s="8"/>
    </row>
    <row r="14">
      <c r="A14" s="11" t="s">
        <v>172</v>
      </c>
      <c r="B14" s="13" t="s">
        <v>71</v>
      </c>
      <c r="C14" s="13" t="s">
        <v>174</v>
      </c>
      <c r="D14" s="13" t="s">
        <v>38</v>
      </c>
      <c r="E14" s="15" t="b">
        <v>1</v>
      </c>
      <c r="F14" s="13" t="s">
        <v>176</v>
      </c>
      <c r="G14" s="15" t="b">
        <v>1</v>
      </c>
      <c r="H14" s="15" t="b">
        <v>1</v>
      </c>
      <c r="I14" s="13" t="s">
        <v>178</v>
      </c>
      <c r="J14" s="15" t="b">
        <v>1</v>
      </c>
      <c r="K14" s="17" t="s">
        <v>181</v>
      </c>
      <c r="L14" s="8"/>
      <c r="M14" s="8"/>
      <c r="N14" s="8"/>
      <c r="O14" s="8"/>
      <c r="P14" s="8"/>
      <c r="Q14" s="8"/>
      <c r="R14" s="8"/>
      <c r="S14" s="8"/>
      <c r="T14" s="8"/>
    </row>
    <row r="15">
      <c r="A15" s="11" t="s">
        <v>184</v>
      </c>
      <c r="B15" s="13" t="s">
        <v>71</v>
      </c>
      <c r="C15" s="13" t="s">
        <v>186</v>
      </c>
      <c r="D15" s="13" t="s">
        <v>188</v>
      </c>
      <c r="E15" s="15" t="b">
        <v>1</v>
      </c>
      <c r="F15" s="13" t="s">
        <v>190</v>
      </c>
      <c r="G15" s="15" t="b">
        <v>1</v>
      </c>
      <c r="H15" s="15" t="b">
        <v>1</v>
      </c>
      <c r="I15" s="13" t="s">
        <v>195</v>
      </c>
      <c r="J15" s="15" t="b">
        <v>1</v>
      </c>
      <c r="K15" s="17" t="s">
        <v>198</v>
      </c>
      <c r="L15" s="8"/>
      <c r="M15" s="8"/>
      <c r="N15" s="8"/>
      <c r="O15" s="8"/>
      <c r="P15" s="8"/>
      <c r="Q15" s="8"/>
      <c r="R15" s="8"/>
      <c r="S15" s="8"/>
      <c r="T15" s="8"/>
    </row>
    <row r="16">
      <c r="A16" s="11" t="s">
        <v>201</v>
      </c>
      <c r="B16" s="13" t="s">
        <v>71</v>
      </c>
      <c r="C16" s="13" t="s">
        <v>203</v>
      </c>
      <c r="D16" s="13" t="s">
        <v>204</v>
      </c>
      <c r="E16" s="15" t="b">
        <v>1</v>
      </c>
      <c r="F16" s="13" t="s">
        <v>205</v>
      </c>
      <c r="G16" s="15" t="b">
        <v>1</v>
      </c>
      <c r="H16" s="15" t="b">
        <v>1</v>
      </c>
      <c r="I16" s="13" t="s">
        <v>206</v>
      </c>
      <c r="J16" s="15" t="b">
        <v>1</v>
      </c>
      <c r="K16" s="17" t="s">
        <v>207</v>
      </c>
      <c r="L16" s="8"/>
      <c r="M16" s="8"/>
      <c r="N16" s="8"/>
      <c r="O16" s="8"/>
      <c r="P16" s="8"/>
      <c r="Q16" s="8"/>
      <c r="R16" s="8"/>
      <c r="S16" s="8"/>
      <c r="T16" s="8"/>
    </row>
    <row r="17">
      <c r="A17" s="11" t="s">
        <v>208</v>
      </c>
      <c r="B17" s="13" t="s">
        <v>71</v>
      </c>
      <c r="C17" s="13" t="s">
        <v>112</v>
      </c>
      <c r="D17" s="13" t="s">
        <v>114</v>
      </c>
      <c r="E17" s="15" t="b">
        <v>0</v>
      </c>
      <c r="F17" s="13" t="s">
        <v>210</v>
      </c>
      <c r="G17" s="15" t="b">
        <v>0</v>
      </c>
      <c r="H17" s="15" t="b">
        <v>1</v>
      </c>
      <c r="I17" s="13" t="s">
        <v>211</v>
      </c>
      <c r="J17" s="15" t="b">
        <v>1</v>
      </c>
      <c r="K17" s="17" t="s">
        <v>213</v>
      </c>
      <c r="L17" s="8"/>
      <c r="M17" s="8"/>
      <c r="N17" s="8"/>
      <c r="O17" s="8"/>
      <c r="P17" s="8"/>
      <c r="Q17" s="8"/>
      <c r="R17" s="8"/>
      <c r="S17" s="8"/>
      <c r="T17" s="8"/>
    </row>
    <row r="18">
      <c r="A18" s="11" t="s">
        <v>215</v>
      </c>
      <c r="B18" s="13" t="s">
        <v>87</v>
      </c>
      <c r="C18" s="13" t="s">
        <v>37</v>
      </c>
      <c r="D18" s="13" t="s">
        <v>60</v>
      </c>
      <c r="E18" s="15" t="b">
        <v>1</v>
      </c>
      <c r="F18" s="13" t="s">
        <v>218</v>
      </c>
      <c r="G18" s="15" t="b">
        <v>0</v>
      </c>
      <c r="H18" s="15" t="b">
        <v>0</v>
      </c>
      <c r="I18" s="13" t="s">
        <v>219</v>
      </c>
      <c r="J18" s="15" t="b">
        <v>1</v>
      </c>
      <c r="K18" s="17" t="s">
        <v>220</v>
      </c>
      <c r="L18" s="8"/>
      <c r="M18" s="8"/>
      <c r="N18" s="8"/>
      <c r="O18" s="8"/>
      <c r="P18" s="8"/>
      <c r="Q18" s="8"/>
      <c r="R18" s="8"/>
      <c r="S18" s="8"/>
      <c r="T18" s="8"/>
    </row>
    <row r="19">
      <c r="A19" s="11" t="s">
        <v>221</v>
      </c>
      <c r="B19" s="13" t="s">
        <v>87</v>
      </c>
      <c r="C19" s="13" t="s">
        <v>222</v>
      </c>
      <c r="D19" s="13" t="s">
        <v>223</v>
      </c>
      <c r="E19" s="15" t="b">
        <v>1</v>
      </c>
      <c r="F19" s="13" t="s">
        <v>224</v>
      </c>
      <c r="G19" s="15" t="b">
        <v>0</v>
      </c>
      <c r="H19" s="15" t="b">
        <v>1</v>
      </c>
      <c r="I19" s="13" t="s">
        <v>225</v>
      </c>
      <c r="J19" s="15" t="b">
        <v>1</v>
      </c>
      <c r="K19" s="17" t="s">
        <v>226</v>
      </c>
      <c r="L19" s="8"/>
      <c r="M19" s="8"/>
      <c r="N19" s="8"/>
      <c r="O19" s="8"/>
      <c r="P19" s="8"/>
      <c r="Q19" s="8"/>
      <c r="R19" s="8"/>
      <c r="S19" s="8"/>
      <c r="T19" s="8"/>
    </row>
    <row r="20">
      <c r="A20" s="11" t="s">
        <v>227</v>
      </c>
      <c r="B20" s="13" t="s">
        <v>87</v>
      </c>
      <c r="C20" s="13" t="s">
        <v>228</v>
      </c>
      <c r="D20" s="13" t="s">
        <v>51</v>
      </c>
      <c r="E20" s="15" t="b">
        <v>1</v>
      </c>
      <c r="F20" s="13" t="s">
        <v>229</v>
      </c>
      <c r="G20" s="15" t="b">
        <v>1</v>
      </c>
      <c r="H20" s="15" t="b">
        <v>1</v>
      </c>
      <c r="I20" s="13" t="s">
        <v>230</v>
      </c>
      <c r="J20" s="15" t="b">
        <v>1</v>
      </c>
      <c r="K20" s="17" t="s">
        <v>231</v>
      </c>
      <c r="L20" s="8"/>
      <c r="M20" s="8"/>
      <c r="N20" s="8"/>
      <c r="O20" s="8"/>
      <c r="P20" s="8"/>
      <c r="Q20" s="8"/>
      <c r="R20" s="8"/>
      <c r="S20" s="8"/>
      <c r="T20" s="8"/>
    </row>
    <row r="21">
      <c r="A21" s="11" t="s">
        <v>232</v>
      </c>
      <c r="B21" s="13" t="s">
        <v>87</v>
      </c>
      <c r="C21" s="13" t="s">
        <v>112</v>
      </c>
      <c r="D21" s="13" t="s">
        <v>114</v>
      </c>
      <c r="E21" s="15" t="b">
        <v>0</v>
      </c>
      <c r="F21" s="13" t="s">
        <v>233</v>
      </c>
      <c r="G21" s="15" t="b">
        <v>0</v>
      </c>
      <c r="H21" s="15" t="b">
        <v>1</v>
      </c>
      <c r="I21" s="13" t="s">
        <v>235</v>
      </c>
      <c r="J21" s="15" t="b">
        <v>1</v>
      </c>
      <c r="K21" s="17" t="s">
        <v>236</v>
      </c>
      <c r="L21" s="8"/>
      <c r="M21" s="8"/>
      <c r="N21" s="8"/>
      <c r="O21" s="8"/>
      <c r="P21" s="8"/>
      <c r="Q21" s="8"/>
      <c r="R21" s="8"/>
      <c r="S21" s="8"/>
      <c r="T21" s="8"/>
    </row>
    <row r="22">
      <c r="A22" s="11" t="s">
        <v>239</v>
      </c>
      <c r="B22" s="13" t="s">
        <v>96</v>
      </c>
      <c r="C22" s="13" t="s">
        <v>240</v>
      </c>
      <c r="D22" s="13" t="s">
        <v>60</v>
      </c>
      <c r="E22" s="15" t="b">
        <v>1</v>
      </c>
      <c r="F22" s="13" t="s">
        <v>241</v>
      </c>
      <c r="G22" s="15" t="b">
        <v>0</v>
      </c>
      <c r="H22" s="15" t="b">
        <v>0</v>
      </c>
      <c r="I22" s="13" t="s">
        <v>242</v>
      </c>
      <c r="J22" s="15" t="b">
        <v>1</v>
      </c>
      <c r="K22" s="17" t="s">
        <v>243</v>
      </c>
      <c r="L22" s="8"/>
      <c r="M22" s="8"/>
      <c r="N22" s="8"/>
      <c r="O22" s="8"/>
      <c r="P22" s="8"/>
      <c r="Q22" s="8"/>
      <c r="R22" s="8"/>
      <c r="S22" s="8"/>
      <c r="T22" s="8"/>
    </row>
    <row r="23">
      <c r="A23" s="11" t="s">
        <v>244</v>
      </c>
      <c r="B23" s="13" t="s">
        <v>96</v>
      </c>
      <c r="C23" s="13" t="s">
        <v>245</v>
      </c>
      <c r="D23" s="13" t="s">
        <v>114</v>
      </c>
      <c r="E23" s="15" t="b">
        <v>1</v>
      </c>
      <c r="F23" s="13" t="s">
        <v>246</v>
      </c>
      <c r="G23" s="15" t="b">
        <v>1</v>
      </c>
      <c r="H23" s="15" t="b">
        <v>1</v>
      </c>
      <c r="I23" s="13" t="s">
        <v>247</v>
      </c>
      <c r="J23" s="15" t="b">
        <v>1</v>
      </c>
      <c r="K23" s="17" t="s">
        <v>248</v>
      </c>
      <c r="L23" s="8"/>
      <c r="M23" s="8"/>
      <c r="N23" s="8"/>
      <c r="O23" s="8"/>
      <c r="P23" s="8"/>
      <c r="Q23" s="8"/>
      <c r="R23" s="8"/>
      <c r="S23" s="8"/>
      <c r="T23" s="8"/>
    </row>
    <row r="24">
      <c r="A24" s="11" t="s">
        <v>250</v>
      </c>
      <c r="B24" s="13" t="s">
        <v>96</v>
      </c>
      <c r="C24" s="13" t="s">
        <v>112</v>
      </c>
      <c r="D24" s="13" t="s">
        <v>114</v>
      </c>
      <c r="E24" s="15" t="b">
        <v>0</v>
      </c>
      <c r="F24" s="13" t="s">
        <v>253</v>
      </c>
      <c r="G24" s="15" t="b">
        <v>0</v>
      </c>
      <c r="H24" s="15" t="b">
        <v>1</v>
      </c>
      <c r="I24" s="13" t="s">
        <v>254</v>
      </c>
      <c r="J24" s="15" t="b">
        <v>1</v>
      </c>
      <c r="K24" s="17" t="s">
        <v>255</v>
      </c>
      <c r="L24" s="8"/>
      <c r="M24" s="8"/>
      <c r="N24" s="8"/>
      <c r="O24" s="8"/>
      <c r="P24" s="8"/>
      <c r="Q24" s="8"/>
      <c r="R24" s="8"/>
      <c r="S24" s="8"/>
      <c r="T24" s="8"/>
    </row>
    <row r="25">
      <c r="A25" s="11" t="s">
        <v>256</v>
      </c>
      <c r="B25" s="13" t="s">
        <v>113</v>
      </c>
      <c r="C25" s="13" t="s">
        <v>112</v>
      </c>
      <c r="D25" s="13" t="s">
        <v>114</v>
      </c>
      <c r="E25" s="15" t="b">
        <v>1</v>
      </c>
      <c r="F25" s="13" t="s">
        <v>257</v>
      </c>
      <c r="G25" s="15" t="b">
        <v>1</v>
      </c>
      <c r="H25" s="15" t="b">
        <v>1</v>
      </c>
      <c r="I25" s="13" t="s">
        <v>156</v>
      </c>
      <c r="J25" s="15" t="b">
        <v>1</v>
      </c>
      <c r="K25" s="17" t="s">
        <v>258</v>
      </c>
      <c r="L25" s="8"/>
      <c r="M25" s="8"/>
      <c r="N25" s="8"/>
      <c r="O25" s="8"/>
      <c r="P25" s="8"/>
      <c r="Q25" s="8"/>
      <c r="R25" s="8"/>
      <c r="S25" s="8"/>
      <c r="T25" s="8"/>
    </row>
    <row r="26">
      <c r="A26" s="11" t="s">
        <v>263</v>
      </c>
      <c r="B26" s="13" t="s">
        <v>113</v>
      </c>
      <c r="C26" s="13" t="s">
        <v>264</v>
      </c>
      <c r="D26" s="13" t="s">
        <v>188</v>
      </c>
      <c r="E26" s="15" t="b">
        <v>1</v>
      </c>
      <c r="F26" s="13" t="s">
        <v>265</v>
      </c>
      <c r="G26" s="15" t="b">
        <v>0</v>
      </c>
      <c r="H26" s="15" t="b">
        <v>1</v>
      </c>
      <c r="I26" s="13" t="s">
        <v>266</v>
      </c>
      <c r="J26" s="15" t="b">
        <v>1</v>
      </c>
      <c r="K26" s="17" t="s">
        <v>267</v>
      </c>
      <c r="L26" s="8"/>
      <c r="M26" s="8"/>
      <c r="N26" s="8"/>
      <c r="O26" s="8"/>
      <c r="P26" s="8"/>
      <c r="Q26" s="8"/>
      <c r="R26" s="8"/>
      <c r="S26" s="8"/>
      <c r="T26" s="8"/>
    </row>
    <row r="27">
      <c r="A27" s="11" t="s">
        <v>268</v>
      </c>
      <c r="B27" s="13" t="s">
        <v>113</v>
      </c>
      <c r="C27" s="13" t="s">
        <v>149</v>
      </c>
      <c r="D27" s="13" t="s">
        <v>150</v>
      </c>
      <c r="E27" s="15" t="b">
        <v>1</v>
      </c>
      <c r="F27" s="13" t="s">
        <v>269</v>
      </c>
      <c r="G27" s="15" t="b">
        <v>1</v>
      </c>
      <c r="H27" s="15" t="b">
        <v>1</v>
      </c>
      <c r="I27" s="13" t="s">
        <v>270</v>
      </c>
      <c r="J27" s="15" t="b">
        <v>1</v>
      </c>
      <c r="K27" s="17" t="s">
        <v>271</v>
      </c>
      <c r="L27" s="8"/>
      <c r="M27" s="8"/>
      <c r="N27" s="8"/>
      <c r="O27" s="8"/>
      <c r="P27" s="8"/>
      <c r="Q27" s="8"/>
      <c r="R27" s="8"/>
      <c r="S27" s="8"/>
      <c r="T27" s="8"/>
    </row>
    <row r="28">
      <c r="A28" s="11" t="s">
        <v>272</v>
      </c>
      <c r="B28" s="13" t="s">
        <v>128</v>
      </c>
      <c r="C28" s="13" t="s">
        <v>88</v>
      </c>
      <c r="D28" s="13" t="s">
        <v>142</v>
      </c>
      <c r="E28" s="15" t="b">
        <v>1</v>
      </c>
      <c r="F28" s="13" t="s">
        <v>273</v>
      </c>
      <c r="G28" s="15" t="b">
        <v>1</v>
      </c>
      <c r="H28" s="15" t="b">
        <v>1</v>
      </c>
      <c r="I28" s="13" t="s">
        <v>274</v>
      </c>
      <c r="J28" s="15" t="b">
        <v>1</v>
      </c>
      <c r="K28" s="17" t="s">
        <v>275</v>
      </c>
      <c r="L28" s="8"/>
      <c r="M28" s="8"/>
      <c r="N28" s="8"/>
      <c r="O28" s="8"/>
      <c r="P28" s="8"/>
      <c r="Q28" s="8"/>
      <c r="R28" s="8"/>
      <c r="S28" s="8"/>
      <c r="T28" s="8"/>
    </row>
    <row r="29">
      <c r="A29" s="11" t="s">
        <v>276</v>
      </c>
      <c r="B29" s="13" t="s">
        <v>128</v>
      </c>
      <c r="C29" s="13" t="s">
        <v>98</v>
      </c>
      <c r="D29" s="13" t="s">
        <v>142</v>
      </c>
      <c r="E29" s="15" t="b">
        <v>1</v>
      </c>
      <c r="F29" s="13" t="s">
        <v>277</v>
      </c>
      <c r="G29" s="15" t="b">
        <v>1</v>
      </c>
      <c r="H29" s="15" t="b">
        <v>1</v>
      </c>
      <c r="I29" s="13" t="s">
        <v>279</v>
      </c>
      <c r="J29" s="15" t="b">
        <v>1</v>
      </c>
      <c r="K29" s="17" t="s">
        <v>281</v>
      </c>
      <c r="L29" s="8"/>
      <c r="M29" s="8"/>
      <c r="N29" s="8"/>
      <c r="O29" s="8"/>
      <c r="P29" s="8"/>
      <c r="Q29" s="8"/>
      <c r="R29" s="8"/>
      <c r="S29" s="8"/>
      <c r="T29" s="8"/>
    </row>
    <row r="30">
      <c r="A30" s="11" t="s">
        <v>283</v>
      </c>
      <c r="B30" s="13" t="s">
        <v>128</v>
      </c>
      <c r="C30" s="13" t="s">
        <v>186</v>
      </c>
      <c r="D30" s="13" t="s">
        <v>188</v>
      </c>
      <c r="E30" s="15" t="b">
        <v>1</v>
      </c>
      <c r="F30" s="13" t="s">
        <v>284</v>
      </c>
      <c r="G30" s="15" t="b">
        <v>1</v>
      </c>
      <c r="H30" s="15" t="b">
        <v>1</v>
      </c>
      <c r="I30" s="13" t="s">
        <v>285</v>
      </c>
      <c r="J30" s="15" t="b">
        <v>1</v>
      </c>
      <c r="K30" s="17" t="s">
        <v>286</v>
      </c>
      <c r="L30" s="8"/>
      <c r="M30" s="8"/>
      <c r="N30" s="8"/>
      <c r="O30" s="8"/>
      <c r="P30" s="8"/>
      <c r="Q30" s="8"/>
      <c r="R30" s="8"/>
      <c r="S30" s="8"/>
      <c r="T30" s="8"/>
    </row>
    <row r="31">
      <c r="A31" s="11" t="s">
        <v>287</v>
      </c>
      <c r="B31" s="13" t="s">
        <v>128</v>
      </c>
      <c r="C31" s="13" t="s">
        <v>112</v>
      </c>
      <c r="D31" s="13" t="s">
        <v>114</v>
      </c>
      <c r="E31" s="15" t="b">
        <v>0</v>
      </c>
      <c r="F31" s="13" t="s">
        <v>288</v>
      </c>
      <c r="G31" s="15" t="b">
        <v>0</v>
      </c>
      <c r="H31" s="15" t="b">
        <v>1</v>
      </c>
      <c r="I31" s="13" t="s">
        <v>289</v>
      </c>
      <c r="J31" s="15" t="b">
        <v>1</v>
      </c>
      <c r="K31" s="17" t="s">
        <v>290</v>
      </c>
      <c r="L31" s="8"/>
      <c r="M31" s="8"/>
      <c r="N31" s="8"/>
      <c r="O31" s="8"/>
      <c r="P31" s="8"/>
      <c r="Q31" s="8"/>
      <c r="R31" s="8"/>
      <c r="S31" s="8"/>
      <c r="T31" s="8"/>
    </row>
    <row r="32">
      <c r="A32" s="11" t="s">
        <v>294</v>
      </c>
      <c r="B32" s="13" t="s">
        <v>166</v>
      </c>
      <c r="C32" s="13" t="s">
        <v>296</v>
      </c>
      <c r="D32" s="13" t="s">
        <v>150</v>
      </c>
      <c r="E32" s="15" t="b">
        <v>1</v>
      </c>
      <c r="F32" s="13" t="s">
        <v>297</v>
      </c>
      <c r="G32" s="15" t="b">
        <v>1</v>
      </c>
      <c r="H32" s="15" t="b">
        <v>1</v>
      </c>
      <c r="I32" s="13" t="s">
        <v>298</v>
      </c>
      <c r="J32" s="15" t="b">
        <v>1</v>
      </c>
      <c r="K32" s="17" t="s">
        <v>299</v>
      </c>
      <c r="L32" s="8"/>
      <c r="M32" s="8"/>
      <c r="N32" s="8"/>
      <c r="O32" s="8"/>
      <c r="P32" s="8"/>
      <c r="Q32" s="8"/>
      <c r="R32" s="8"/>
      <c r="S32" s="8"/>
      <c r="T32" s="8"/>
    </row>
    <row r="33">
      <c r="A33" s="11" t="s">
        <v>300</v>
      </c>
      <c r="B33" s="13" t="s">
        <v>166</v>
      </c>
      <c r="C33" s="13" t="s">
        <v>301</v>
      </c>
      <c r="D33" s="13" t="s">
        <v>150</v>
      </c>
      <c r="E33" s="15" t="b">
        <v>1</v>
      </c>
      <c r="F33" s="13" t="s">
        <v>302</v>
      </c>
      <c r="G33" s="15" t="b">
        <v>1</v>
      </c>
      <c r="H33" s="15" t="b">
        <v>1</v>
      </c>
      <c r="I33" s="13" t="s">
        <v>303</v>
      </c>
      <c r="J33" s="15" t="b">
        <v>1</v>
      </c>
      <c r="K33" s="17" t="s">
        <v>304</v>
      </c>
      <c r="L33" s="8"/>
      <c r="M33" s="8"/>
      <c r="N33" s="8"/>
      <c r="O33" s="8"/>
      <c r="P33" s="8"/>
      <c r="Q33" s="8"/>
      <c r="R33" s="8"/>
      <c r="S33" s="8"/>
      <c r="T33" s="8"/>
    </row>
    <row r="34">
      <c r="A34" s="11" t="s">
        <v>305</v>
      </c>
      <c r="B34" s="13" t="s">
        <v>166</v>
      </c>
      <c r="C34" s="13" t="s">
        <v>306</v>
      </c>
      <c r="D34" s="13" t="s">
        <v>60</v>
      </c>
      <c r="E34" s="15" t="b">
        <v>1</v>
      </c>
      <c r="F34" s="13" t="s">
        <v>307</v>
      </c>
      <c r="G34" s="15" t="b">
        <v>0</v>
      </c>
      <c r="H34" s="15" t="b">
        <v>0</v>
      </c>
      <c r="I34" s="13" t="s">
        <v>308</v>
      </c>
      <c r="J34" s="15" t="b">
        <v>1</v>
      </c>
      <c r="K34" s="17" t="s">
        <v>309</v>
      </c>
      <c r="L34" s="8"/>
      <c r="M34" s="8"/>
      <c r="N34" s="8"/>
      <c r="O34" s="8"/>
      <c r="P34" s="8"/>
      <c r="Q34" s="8"/>
      <c r="R34" s="8"/>
      <c r="S34" s="8"/>
      <c r="T34" s="8"/>
    </row>
    <row r="35">
      <c r="A35" s="29" t="s">
        <v>314</v>
      </c>
      <c r="B35" s="30" t="s">
        <v>166</v>
      </c>
      <c r="C35" s="30" t="s">
        <v>112</v>
      </c>
      <c r="D35" s="30" t="s">
        <v>114</v>
      </c>
      <c r="E35" s="31" t="b">
        <v>0</v>
      </c>
      <c r="F35" s="30" t="s">
        <v>315</v>
      </c>
      <c r="G35" s="31" t="b">
        <v>0</v>
      </c>
      <c r="H35" s="31" t="b">
        <v>1</v>
      </c>
      <c r="I35" s="30" t="s">
        <v>317</v>
      </c>
      <c r="J35" s="31" t="b">
        <v>1</v>
      </c>
      <c r="K35" s="32" t="s">
        <v>320</v>
      </c>
      <c r="L35" s="8"/>
      <c r="M35" s="8"/>
      <c r="N35" s="8"/>
      <c r="O35" s="8"/>
      <c r="P35" s="8"/>
      <c r="Q35" s="8"/>
      <c r="R35" s="8"/>
      <c r="S35" s="8"/>
      <c r="T35" s="8"/>
    </row>
    <row r="36">
      <c r="A36" s="33" t="s">
        <v>321</v>
      </c>
      <c r="B36" s="33" t="s">
        <v>166</v>
      </c>
      <c r="C36" s="33" t="s">
        <v>149</v>
      </c>
      <c r="D36" s="33" t="s">
        <v>150</v>
      </c>
      <c r="E36" s="34" t="b">
        <v>0</v>
      </c>
      <c r="F36" s="33" t="s">
        <v>322</v>
      </c>
      <c r="G36" s="34" t="b">
        <v>0</v>
      </c>
      <c r="H36" s="34" t="b">
        <v>1</v>
      </c>
      <c r="I36" s="33" t="s">
        <v>323</v>
      </c>
      <c r="J36" s="34" t="b">
        <v>1</v>
      </c>
      <c r="K36" s="33" t="s">
        <v>325</v>
      </c>
      <c r="L36" s="8"/>
      <c r="M36" s="8"/>
      <c r="N36" s="8"/>
      <c r="O36" s="8"/>
      <c r="P36" s="8"/>
      <c r="Q36" s="8"/>
      <c r="R36" s="8"/>
      <c r="S36" s="8"/>
      <c r="T36" s="8"/>
    </row>
    <row r="37">
      <c r="A37" s="33" t="s">
        <v>328</v>
      </c>
      <c r="B37" s="33" t="s">
        <v>53</v>
      </c>
      <c r="C37" s="33" t="s">
        <v>112</v>
      </c>
      <c r="D37" s="33" t="s">
        <v>114</v>
      </c>
      <c r="E37" s="34" t="b">
        <v>0</v>
      </c>
      <c r="F37" s="33" t="s">
        <v>329</v>
      </c>
      <c r="G37" s="34" t="b">
        <v>0</v>
      </c>
      <c r="H37" s="34" t="b">
        <v>1</v>
      </c>
      <c r="I37" s="33" t="s">
        <v>330</v>
      </c>
      <c r="J37" s="34" t="b">
        <v>1</v>
      </c>
      <c r="K37" s="33" t="s">
        <v>331</v>
      </c>
      <c r="L37" s="8"/>
      <c r="M37" s="8"/>
      <c r="N37" s="8"/>
      <c r="O37" s="8"/>
      <c r="P37" s="8"/>
      <c r="Q37" s="8"/>
      <c r="R37" s="8"/>
      <c r="S37" s="8"/>
      <c r="T37" s="8"/>
    </row>
    <row r="38">
      <c r="A38" s="13" t="s">
        <v>332</v>
      </c>
      <c r="B38" s="13" t="s">
        <v>166</v>
      </c>
      <c r="C38" s="13" t="s">
        <v>306</v>
      </c>
      <c r="D38" s="13" t="s">
        <v>333</v>
      </c>
      <c r="E38" s="15" t="b">
        <v>0</v>
      </c>
      <c r="F38" s="13" t="s">
        <v>334</v>
      </c>
      <c r="G38" s="15" t="b">
        <v>0</v>
      </c>
      <c r="H38" s="15" t="b">
        <v>1</v>
      </c>
      <c r="I38" s="13" t="s">
        <v>335</v>
      </c>
      <c r="J38" s="15" t="b">
        <v>1</v>
      </c>
      <c r="K38" s="13" t="s">
        <v>336</v>
      </c>
      <c r="L38" s="8"/>
      <c r="M38" s="8"/>
      <c r="N38" s="8"/>
      <c r="O38" s="8"/>
      <c r="P38" s="8"/>
      <c r="Q38" s="8"/>
      <c r="R38" s="8"/>
      <c r="S38" s="8"/>
      <c r="T38" s="8"/>
    </row>
    <row r="39">
      <c r="A39" s="13" t="s">
        <v>338</v>
      </c>
      <c r="B39" s="13" t="s">
        <v>166</v>
      </c>
      <c r="C39" s="13" t="s">
        <v>339</v>
      </c>
      <c r="D39" s="13" t="s">
        <v>340</v>
      </c>
      <c r="E39" s="15" t="b">
        <v>0</v>
      </c>
      <c r="F39" s="13" t="s">
        <v>341</v>
      </c>
      <c r="G39" s="15" t="b">
        <v>0</v>
      </c>
      <c r="H39" s="15" t="b">
        <v>1</v>
      </c>
      <c r="I39" s="13" t="s">
        <v>342</v>
      </c>
      <c r="J39" s="15" t="b">
        <v>1</v>
      </c>
      <c r="K39" s="13" t="s">
        <v>343</v>
      </c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conditionalFormatting sqref="E2:E39">
    <cfRule type="cellIs" dxfId="2" priority="1" stopIfTrue="1" operator="equal">
      <formula>"TRUE"</formula>
    </cfRule>
  </conditionalFormatting>
  <conditionalFormatting sqref="E2:E39">
    <cfRule type="cellIs" dxfId="3" priority="2" stopIfTrue="1" operator="equal">
      <formula>"FALSE"</formula>
    </cfRule>
  </conditionalFormatting>
  <conditionalFormatting sqref="J2:J39">
    <cfRule type="cellIs" dxfId="4" priority="3" stopIfTrue="1" operator="equal">
      <formula>"TRUE"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4.88"/>
    <col customWidth="1" min="3" max="3" width="23.25"/>
    <col customWidth="1" min="4" max="4" width="17.88"/>
    <col customWidth="1" min="5" max="5" width="14.25"/>
    <col customWidth="1" min="6" max="6" width="57.0"/>
  </cols>
  <sheetData>
    <row r="1">
      <c r="A1" s="1" t="s">
        <v>2</v>
      </c>
      <c r="B1" s="4" t="s">
        <v>5</v>
      </c>
      <c r="C1" s="4" t="s">
        <v>0</v>
      </c>
      <c r="D1" s="4" t="s">
        <v>12</v>
      </c>
      <c r="E1" s="4" t="s">
        <v>17</v>
      </c>
      <c r="F1" s="6" t="s">
        <v>23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9" t="s">
        <v>30</v>
      </c>
      <c r="B2" s="10" t="s">
        <v>33</v>
      </c>
      <c r="C2" s="10" t="s">
        <v>31</v>
      </c>
      <c r="D2" s="12" t="s">
        <v>36</v>
      </c>
      <c r="E2" s="12" t="b">
        <v>1</v>
      </c>
      <c r="F2" s="16" t="s">
        <v>44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9" t="s">
        <v>49</v>
      </c>
      <c r="B3" s="10" t="s">
        <v>50</v>
      </c>
      <c r="C3" s="10" t="s">
        <v>53</v>
      </c>
      <c r="D3" s="12" t="s">
        <v>36</v>
      </c>
      <c r="E3" s="12" t="b">
        <v>1</v>
      </c>
      <c r="F3" s="16" t="s">
        <v>56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9" t="s">
        <v>65</v>
      </c>
      <c r="B4" s="10" t="s">
        <v>68</v>
      </c>
      <c r="C4" s="10" t="s">
        <v>71</v>
      </c>
      <c r="D4" s="12" t="s">
        <v>36</v>
      </c>
      <c r="E4" s="12" t="b">
        <v>1</v>
      </c>
      <c r="F4" s="16" t="s">
        <v>76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9" t="s">
        <v>83</v>
      </c>
      <c r="B5" s="10" t="s">
        <v>85</v>
      </c>
      <c r="C5" s="10" t="s">
        <v>87</v>
      </c>
      <c r="D5" s="12" t="s">
        <v>36</v>
      </c>
      <c r="E5" s="12" t="b">
        <v>1</v>
      </c>
      <c r="F5" s="16" t="s">
        <v>89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9" t="s">
        <v>93</v>
      </c>
      <c r="B6" s="10" t="s">
        <v>95</v>
      </c>
      <c r="C6" s="10" t="s">
        <v>96</v>
      </c>
      <c r="D6" s="12" t="s">
        <v>36</v>
      </c>
      <c r="E6" s="12" t="b">
        <v>1</v>
      </c>
      <c r="F6" s="16" t="s">
        <v>100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9" t="s">
        <v>109</v>
      </c>
      <c r="B7" s="10" t="s">
        <v>111</v>
      </c>
      <c r="C7" s="10" t="s">
        <v>113</v>
      </c>
      <c r="D7" s="12" t="s">
        <v>36</v>
      </c>
      <c r="E7" s="12" t="b">
        <v>1</v>
      </c>
      <c r="F7" s="16" t="s">
        <v>117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124</v>
      </c>
      <c r="B8" s="10" t="s">
        <v>126</v>
      </c>
      <c r="C8" s="10" t="s">
        <v>128</v>
      </c>
      <c r="D8" s="12" t="s">
        <v>36</v>
      </c>
      <c r="E8" s="12" t="b">
        <v>1</v>
      </c>
      <c r="F8" s="16" t="s">
        <v>129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20" t="s">
        <v>139</v>
      </c>
      <c r="B9" s="22" t="s">
        <v>151</v>
      </c>
      <c r="C9" s="22" t="s">
        <v>166</v>
      </c>
      <c r="D9" s="24" t="s">
        <v>36</v>
      </c>
      <c r="E9" s="24" t="b">
        <v>1</v>
      </c>
      <c r="F9" s="26" t="s">
        <v>191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5.25"/>
    <col customWidth="1" min="3" max="3" width="11.5"/>
    <col customWidth="1" min="4" max="4" width="74.13"/>
    <col customWidth="1" min="5" max="5" width="59.13"/>
  </cols>
  <sheetData>
    <row r="1">
      <c r="A1" s="1" t="s">
        <v>414</v>
      </c>
      <c r="B1" s="4" t="s">
        <v>415</v>
      </c>
      <c r="C1" s="4" t="s">
        <v>416</v>
      </c>
      <c r="D1" s="4" t="s">
        <v>417</v>
      </c>
      <c r="E1" s="6" t="s">
        <v>418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11" t="s">
        <v>419</v>
      </c>
      <c r="B2" s="13" t="s">
        <v>0</v>
      </c>
      <c r="C2" s="13" t="s">
        <v>420</v>
      </c>
      <c r="D2" s="13" t="s">
        <v>421</v>
      </c>
      <c r="E2" s="17" t="s">
        <v>422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11" t="s">
        <v>419</v>
      </c>
      <c r="B3" s="13" t="s">
        <v>4</v>
      </c>
      <c r="C3" s="13" t="s">
        <v>423</v>
      </c>
      <c r="D3" s="13" t="s">
        <v>424</v>
      </c>
      <c r="E3" s="17" t="s">
        <v>425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11" t="s">
        <v>419</v>
      </c>
      <c r="B4" s="13" t="s">
        <v>14</v>
      </c>
      <c r="C4" s="13" t="s">
        <v>423</v>
      </c>
      <c r="D4" s="13" t="s">
        <v>426</v>
      </c>
      <c r="E4" s="17" t="s">
        <v>427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1" t="s">
        <v>419</v>
      </c>
      <c r="B5" s="13" t="s">
        <v>18</v>
      </c>
      <c r="C5" s="13" t="s">
        <v>428</v>
      </c>
      <c r="D5" s="13" t="s">
        <v>429</v>
      </c>
      <c r="E5" s="17" t="s">
        <v>430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1" t="s">
        <v>419</v>
      </c>
      <c r="B6" s="13" t="s">
        <v>20</v>
      </c>
      <c r="C6" s="13" t="s">
        <v>423</v>
      </c>
      <c r="D6" s="13" t="s">
        <v>431</v>
      </c>
      <c r="E6" s="17" t="s">
        <v>432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1" t="s">
        <v>419</v>
      </c>
      <c r="B7" s="13" t="s">
        <v>23</v>
      </c>
      <c r="C7" s="13" t="s">
        <v>423</v>
      </c>
      <c r="D7" s="13" t="s">
        <v>426</v>
      </c>
      <c r="E7" s="17" t="s">
        <v>433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1" t="s">
        <v>419</v>
      </c>
      <c r="B8" s="13" t="s">
        <v>27</v>
      </c>
      <c r="C8" s="13" t="s">
        <v>423</v>
      </c>
      <c r="D8" s="13" t="s">
        <v>434</v>
      </c>
      <c r="E8" s="17" t="s">
        <v>435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1" t="s">
        <v>419</v>
      </c>
      <c r="B9" s="13" t="s">
        <v>28</v>
      </c>
      <c r="C9" s="13" t="s">
        <v>423</v>
      </c>
      <c r="D9" s="13" t="s">
        <v>436</v>
      </c>
      <c r="E9" s="17" t="s">
        <v>437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1" t="s">
        <v>419</v>
      </c>
      <c r="B10" s="13" t="s">
        <v>29</v>
      </c>
      <c r="C10" s="13" t="s">
        <v>423</v>
      </c>
      <c r="D10" s="13" t="s">
        <v>438</v>
      </c>
      <c r="E10" s="17" t="s">
        <v>439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1" t="s">
        <v>440</v>
      </c>
      <c r="B11" s="13" t="s">
        <v>1</v>
      </c>
      <c r="C11" s="13" t="s">
        <v>420</v>
      </c>
      <c r="D11" s="13" t="s">
        <v>441</v>
      </c>
      <c r="E11" s="17" t="s">
        <v>442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1" t="s">
        <v>440</v>
      </c>
      <c r="B12" s="13" t="s">
        <v>0</v>
      </c>
      <c r="C12" s="13" t="s">
        <v>443</v>
      </c>
      <c r="D12" s="13" t="s">
        <v>444</v>
      </c>
      <c r="E12" s="17" t="s">
        <v>445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1" t="s">
        <v>440</v>
      </c>
      <c r="B13" s="13" t="s">
        <v>7</v>
      </c>
      <c r="C13" s="13" t="s">
        <v>446</v>
      </c>
      <c r="D13" s="13" t="s">
        <v>447</v>
      </c>
      <c r="E13" s="17" t="s">
        <v>448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1" t="s">
        <v>440</v>
      </c>
      <c r="B14" s="13" t="s">
        <v>8</v>
      </c>
      <c r="C14" s="13" t="s">
        <v>446</v>
      </c>
      <c r="D14" s="13" t="s">
        <v>449</v>
      </c>
      <c r="E14" s="17" t="s">
        <v>450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11" t="s">
        <v>440</v>
      </c>
      <c r="B15" s="13" t="s">
        <v>9</v>
      </c>
      <c r="C15" s="13" t="s">
        <v>428</v>
      </c>
      <c r="D15" s="13" t="s">
        <v>429</v>
      </c>
      <c r="E15" s="17" t="s">
        <v>451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1" t="s">
        <v>440</v>
      </c>
      <c r="B16" s="13" t="s">
        <v>11</v>
      </c>
      <c r="C16" s="13" t="s">
        <v>423</v>
      </c>
      <c r="D16" s="13" t="s">
        <v>452</v>
      </c>
      <c r="E16" s="17" t="s">
        <v>453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 t="s">
        <v>440</v>
      </c>
      <c r="B17" s="13" t="s">
        <v>13</v>
      </c>
      <c r="C17" s="13" t="s">
        <v>428</v>
      </c>
      <c r="D17" s="13" t="s">
        <v>429</v>
      </c>
      <c r="E17" s="17" t="s">
        <v>454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 t="s">
        <v>440</v>
      </c>
      <c r="B18" s="13" t="s">
        <v>16</v>
      </c>
      <c r="C18" s="13" t="s">
        <v>428</v>
      </c>
      <c r="D18" s="13" t="s">
        <v>429</v>
      </c>
      <c r="E18" s="17" t="s">
        <v>455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 t="s">
        <v>440</v>
      </c>
      <c r="B19" s="13" t="s">
        <v>20</v>
      </c>
      <c r="C19" s="13" t="s">
        <v>423</v>
      </c>
      <c r="D19" s="13" t="s">
        <v>431</v>
      </c>
      <c r="E19" s="17" t="s">
        <v>456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 t="s">
        <v>440</v>
      </c>
      <c r="B20" s="13" t="s">
        <v>22</v>
      </c>
      <c r="C20" s="13" t="s">
        <v>428</v>
      </c>
      <c r="D20" s="13" t="s">
        <v>429</v>
      </c>
      <c r="E20" s="17" t="s">
        <v>457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 t="s">
        <v>440</v>
      </c>
      <c r="B21" s="13" t="s">
        <v>23</v>
      </c>
      <c r="C21" s="13" t="s">
        <v>423</v>
      </c>
      <c r="D21" s="13" t="s">
        <v>426</v>
      </c>
      <c r="E21" s="17" t="s">
        <v>458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1" t="s">
        <v>459</v>
      </c>
      <c r="B22" s="13" t="s">
        <v>2</v>
      </c>
      <c r="C22" s="13" t="s">
        <v>420</v>
      </c>
      <c r="D22" s="13" t="s">
        <v>460</v>
      </c>
      <c r="E22" s="17" t="s">
        <v>461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1" t="s">
        <v>459</v>
      </c>
      <c r="B23" s="13" t="s">
        <v>5</v>
      </c>
      <c r="C23" s="13" t="s">
        <v>423</v>
      </c>
      <c r="D23" s="13" t="s">
        <v>424</v>
      </c>
      <c r="E23" s="17" t="s">
        <v>462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11" t="s">
        <v>459</v>
      </c>
      <c r="B24" s="13" t="s">
        <v>0</v>
      </c>
      <c r="C24" s="13" t="s">
        <v>443</v>
      </c>
      <c r="D24" s="13" t="s">
        <v>444</v>
      </c>
      <c r="E24" s="17" t="s">
        <v>463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29" t="s">
        <v>459</v>
      </c>
      <c r="B25" s="30" t="s">
        <v>12</v>
      </c>
      <c r="C25" s="30" t="s">
        <v>446</v>
      </c>
      <c r="D25" s="30" t="s">
        <v>464</v>
      </c>
      <c r="E25" s="32" t="s">
        <v>465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33" t="s">
        <v>459</v>
      </c>
      <c r="B26" s="33" t="s">
        <v>17</v>
      </c>
      <c r="C26" s="33" t="s">
        <v>428</v>
      </c>
      <c r="D26" s="33" t="s">
        <v>429</v>
      </c>
      <c r="E26" s="33" t="s">
        <v>466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33" t="s">
        <v>459</v>
      </c>
      <c r="B27" s="33" t="s">
        <v>23</v>
      </c>
      <c r="C27" s="33" t="s">
        <v>423</v>
      </c>
      <c r="D27" s="33" t="s">
        <v>426</v>
      </c>
      <c r="E27" s="33" t="s">
        <v>467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33" t="s">
        <v>468</v>
      </c>
      <c r="B28" s="33" t="s">
        <v>179</v>
      </c>
      <c r="C28" s="33" t="s">
        <v>420</v>
      </c>
      <c r="D28" s="33" t="s">
        <v>469</v>
      </c>
      <c r="E28" s="33" t="s">
        <v>470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33" t="s">
        <v>468</v>
      </c>
      <c r="B29" s="33" t="s">
        <v>187</v>
      </c>
      <c r="C29" s="33" t="s">
        <v>446</v>
      </c>
      <c r="D29" s="33" t="s">
        <v>471</v>
      </c>
      <c r="E29" s="33" t="s">
        <v>472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33" t="s">
        <v>468</v>
      </c>
      <c r="B30" s="33" t="s">
        <v>189</v>
      </c>
      <c r="C30" s="33" t="s">
        <v>423</v>
      </c>
      <c r="D30" s="33" t="s">
        <v>426</v>
      </c>
      <c r="E30" s="33" t="s">
        <v>473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33" t="s">
        <v>468</v>
      </c>
      <c r="B31" s="33" t="s">
        <v>192</v>
      </c>
      <c r="C31" s="33" t="s">
        <v>474</v>
      </c>
      <c r="D31" s="33" t="s">
        <v>475</v>
      </c>
      <c r="E31" s="33" t="s">
        <v>476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11" t="s">
        <v>468</v>
      </c>
      <c r="B32" s="11" t="s">
        <v>193</v>
      </c>
      <c r="C32" s="11" t="s">
        <v>446</v>
      </c>
      <c r="D32" s="11" t="s">
        <v>477</v>
      </c>
      <c r="E32" s="11" t="s">
        <v>478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11" t="s">
        <v>468</v>
      </c>
      <c r="B33" s="11" t="s">
        <v>194</v>
      </c>
      <c r="C33" s="11" t="s">
        <v>423</v>
      </c>
      <c r="D33" s="11" t="s">
        <v>426</v>
      </c>
      <c r="E33" s="11" t="s">
        <v>479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11" t="s">
        <v>480</v>
      </c>
      <c r="B34" s="11" t="s">
        <v>481</v>
      </c>
      <c r="C34" s="11" t="s">
        <v>482</v>
      </c>
      <c r="D34" s="11" t="s">
        <v>483</v>
      </c>
      <c r="E34" s="11" t="s">
        <v>484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11" t="s">
        <v>480</v>
      </c>
      <c r="B35" s="11" t="s">
        <v>485</v>
      </c>
      <c r="C35" s="11" t="s">
        <v>482</v>
      </c>
      <c r="D35" s="11" t="s">
        <v>486</v>
      </c>
      <c r="E35" s="11" t="s">
        <v>487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11" t="s">
        <v>480</v>
      </c>
      <c r="B36" s="11" t="s">
        <v>488</v>
      </c>
      <c r="C36" s="11" t="s">
        <v>482</v>
      </c>
      <c r="D36" s="11" t="s">
        <v>489</v>
      </c>
      <c r="E36" s="11" t="s">
        <v>490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39.63"/>
    <col customWidth="1" min="3" max="3" width="153.38"/>
  </cols>
  <sheetData>
    <row r="1">
      <c r="A1" s="1" t="s">
        <v>491</v>
      </c>
      <c r="B1" s="4" t="s">
        <v>492</v>
      </c>
      <c r="C1" s="6" t="s">
        <v>493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11" t="s">
        <v>494</v>
      </c>
      <c r="B2" s="13" t="s">
        <v>495</v>
      </c>
      <c r="C2" s="17" t="s">
        <v>496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11" t="s">
        <v>497</v>
      </c>
      <c r="B3" s="13" t="s">
        <v>498</v>
      </c>
      <c r="C3" s="17" t="s">
        <v>499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11" t="s">
        <v>500</v>
      </c>
      <c r="B4" s="13" t="s">
        <v>501</v>
      </c>
      <c r="C4" s="17" t="s">
        <v>502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1" t="s">
        <v>500</v>
      </c>
      <c r="B5" s="13" t="s">
        <v>503</v>
      </c>
      <c r="C5" s="17" t="s">
        <v>504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11" t="s">
        <v>500</v>
      </c>
      <c r="B6" s="13" t="s">
        <v>505</v>
      </c>
      <c r="C6" s="17" t="s">
        <v>506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11" t="s">
        <v>507</v>
      </c>
      <c r="B7" s="13" t="s">
        <v>508</v>
      </c>
      <c r="C7" s="17" t="s">
        <v>509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11" t="s">
        <v>507</v>
      </c>
      <c r="B8" s="13" t="s">
        <v>510</v>
      </c>
      <c r="C8" s="17" t="s">
        <v>511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1" t="s">
        <v>512</v>
      </c>
      <c r="B9" s="13" t="s">
        <v>513</v>
      </c>
      <c r="C9" s="17" t="s">
        <v>514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1" t="s">
        <v>515</v>
      </c>
      <c r="B10" s="13" t="s">
        <v>516</v>
      </c>
      <c r="C10" s="17" t="s">
        <v>517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11" t="s">
        <v>515</v>
      </c>
      <c r="B11" s="13" t="s">
        <v>518</v>
      </c>
      <c r="C11" s="17" t="s">
        <v>519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11" t="s">
        <v>520</v>
      </c>
      <c r="B12" s="13" t="s">
        <v>521</v>
      </c>
      <c r="C12" s="17" t="s">
        <v>522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1" t="s">
        <v>520</v>
      </c>
      <c r="B13" s="13" t="s">
        <v>523</v>
      </c>
      <c r="C13" s="17" t="s">
        <v>524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1" t="s">
        <v>525</v>
      </c>
      <c r="B14" s="13" t="s">
        <v>526</v>
      </c>
      <c r="C14" s="17" t="s">
        <v>527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11" t="s">
        <v>525</v>
      </c>
      <c r="B15" s="13" t="s">
        <v>528</v>
      </c>
      <c r="C15" s="17" t="s">
        <v>529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11" t="s">
        <v>525</v>
      </c>
      <c r="B16" s="13" t="s">
        <v>530</v>
      </c>
      <c r="C16" s="17" t="s">
        <v>531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 t="s">
        <v>532</v>
      </c>
      <c r="B17" s="13" t="s">
        <v>533</v>
      </c>
      <c r="C17" s="17" t="s">
        <v>534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 t="s">
        <v>535</v>
      </c>
      <c r="B18" s="13" t="s">
        <v>536</v>
      </c>
      <c r="C18" s="17" t="s">
        <v>537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 t="s">
        <v>538</v>
      </c>
      <c r="B19" s="13" t="s">
        <v>539</v>
      </c>
      <c r="C19" s="17" t="s">
        <v>540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29" t="s">
        <v>541</v>
      </c>
      <c r="B20" s="30" t="s">
        <v>542</v>
      </c>
      <c r="C20" s="32" t="s">
        <v>543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9" t="s">
        <v>544</v>
      </c>
      <c r="B21" s="9" t="s">
        <v>545</v>
      </c>
      <c r="C21" s="9" t="s">
        <v>546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9" t="s">
        <v>547</v>
      </c>
      <c r="B22" s="9" t="s">
        <v>548</v>
      </c>
      <c r="C22" s="9" t="s">
        <v>549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drawing r:id="rId1"/>
</worksheet>
</file>