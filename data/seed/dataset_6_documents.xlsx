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uments" sheetId="1" r:id="rId5"/>
    <sheet state="visible" name="Data_Dictionary" sheetId="2" r:id="rId6"/>
    <sheet state="visible" name="Read_Me" sheetId="3" r:id="rId7"/>
    <sheet state="visible" name="Validation_Report" sheetId="4" r:id="rId8"/>
  </sheets>
  <definedNames>
    <definedName hidden="1" localSheetId="0" name="_xlnm._FilterDatabase">Documents!$A$1:$V$15</definedName>
    <definedName hidden="1" localSheetId="1" name="_xlnm._FilterDatabase">Data_Dictionary!$A$1:$E$23</definedName>
  </definedNames>
  <calcPr/>
</workbook>
</file>

<file path=xl/sharedStrings.xml><?xml version="1.0" encoding="utf-8"?>
<sst xmlns="http://schemas.openxmlformats.org/spreadsheetml/2006/main" count="458" uniqueCount="336">
  <si>
    <t>document_id</t>
  </si>
  <si>
    <t>application_id</t>
  </si>
  <si>
    <t>institution_id</t>
  </si>
  <si>
    <t>document_type</t>
  </si>
  <si>
    <t>document_description</t>
  </si>
  <si>
    <t>source_reference</t>
  </si>
  <si>
    <t>is_verified_requirement</t>
  </si>
  <si>
    <t>is_demo_rule</t>
  </si>
  <si>
    <t>issue_date</t>
  </si>
  <si>
    <t>expiry_date</t>
  </si>
  <si>
    <t>submitted_date</t>
  </si>
  <si>
    <t>document_version</t>
  </si>
  <si>
    <t>previous_version_document_id</t>
  </si>
  <si>
    <t>document_status</t>
  </si>
  <si>
    <t>verification_status</t>
  </si>
  <si>
    <t>reviewed_by</t>
  </si>
  <si>
    <t>reviewed_date</t>
  </si>
  <si>
    <t>renewal_required</t>
  </si>
  <si>
    <t>renewal_due_date</t>
  </si>
  <si>
    <t>storage_reference</t>
  </si>
  <si>
    <t>last_updated</t>
  </si>
  <si>
    <t>demo_notes</t>
  </si>
  <si>
    <t>DOC-2026-0001</t>
  </si>
  <si>
    <t>APP001</t>
  </si>
  <si>
    <t>INST001</t>
  </si>
  <si>
    <t>Land Lease Deed</t>
  </si>
  <si>
    <t>30-year registered land lease deed for main campus parcel</t>
  </si>
  <si>
    <t>AICTE Approval Process Handbook (APH 2024-27), Chapter I, Section 1.3</t>
  </si>
  <si>
    <t>-</t>
  </si>
  <si>
    <t>SUPERSEDED</t>
  </si>
  <si>
    <t>ROLE_SCRUTINY_MEMBER</t>
  </si>
  <si>
    <t>s3://aicte-vault-prod/institutions/INST001/lease_deed_1996_v1.pdf</t>
  </si>
  <si>
    <t>Original 30-year lease expired August 2026; superseded by renewed 30-year lease agreement (DOC-2026-0002).</t>
  </si>
  <si>
    <t>DOC-2026-0002</t>
  </si>
  <si>
    <t>Registered renewal deed extending institutional land lease for 30 years</t>
  </si>
  <si>
    <t>VALID</t>
  </si>
  <si>
    <t>VERIFIED</t>
  </si>
  <si>
    <t>s3://aicte-vault-prod/institutions/INST001/lease_deed_2026_v2.pdf</t>
  </si>
  <si>
    <t>Renewal registered prior to EVC inspection; verified by Scrutiny Committee.</t>
  </si>
  <si>
    <t>DOC-2026-0003</t>
  </si>
  <si>
    <t>Building Plan Approval</t>
  </si>
  <si>
    <t>Town planning authority sanctioned building layout plan</t>
  </si>
  <si>
    <t>AICTE Approval Process Handbook (APH 2024-27), Appendix 4</t>
  </si>
  <si>
    <t>s3://aicte-vault-prod/institutions/INST001/building_plan_v1.pdf</t>
  </si>
  <si>
    <t>10-year municipal plan approval; active and compliant for new institution route.</t>
  </si>
  <si>
    <t>DOC-2026-0004</t>
  </si>
  <si>
    <t>APP002</t>
  </si>
  <si>
    <t>INST002</t>
  </si>
  <si>
    <t>Fire Safety Certificate</t>
  </si>
  <si>
    <t>State Fire Services department annual safety inspection NOC</t>
  </si>
  <si>
    <t>EXPIRED</t>
  </si>
  <si>
    <t>DEFICIENCY_FLAGGED</t>
  </si>
  <si>
    <t>s3://aicte-vault-prod/institutions/INST002/fire_noc_2025_v1.pdf</t>
  </si>
  <si>
    <t>Expired certificate flagged during scrutiny; deficiency notice issued with 10-day upload window.</t>
  </si>
  <si>
    <t>DOC-2026-0005</t>
  </si>
  <si>
    <t>Renewed provisional fire department compliance acknowledgment receipt</t>
  </si>
  <si>
    <t>UNDER_REVIEW</t>
  </si>
  <si>
    <t>PENDING_VERIFICATION</t>
  </si>
  <si>
    <t>s3://aicte-vault-prod/institutions/INST002/fire_noc_2026_provisional_v2.pdf</t>
  </si>
  <si>
    <t>Uploaded under deficiency compliance window; awaiting re-scrutiny verification.</t>
  </si>
  <si>
    <t>DOC-2026-0006</t>
  </si>
  <si>
    <t>APP006</t>
  </si>
  <si>
    <t>INST006</t>
  </si>
  <si>
    <t>Structural Stability Certificate</t>
  </si>
  <si>
    <t>PWD empanelled structural engineer certification for new building</t>
  </si>
  <si>
    <t>REJECTED</t>
  </si>
  <si>
    <t>REJECTED_FOR_CORRECTION</t>
  </si>
  <si>
    <t>s3://aicte-vault-prod/institutions/INST006/structural_cert_2023_v1.pdf</t>
  </si>
  <si>
    <t>Rejected due to missing seal from certified government authority; required re-inspection.</t>
  </si>
  <si>
    <t>DOC-2026-0007</t>
  </si>
  <si>
    <t>Recertified structural stability report bearing Government Chief Engineer endorsement</t>
  </si>
  <si>
    <t>ROLE_SAC_CHAIR</t>
  </si>
  <si>
    <t>s3://aicte-vault-prod/institutions/INST006/structural_cert_2026_endorsed_v2.pdf</t>
  </si>
  <si>
    <t>Resubmitted with official endorsement and reviewed during Standing Appellate Committee hearing.</t>
  </si>
  <si>
    <t>DOC-2026-0008</t>
  </si>
  <si>
    <t>APP004</t>
  </si>
  <si>
    <t>INST004</t>
  </si>
  <si>
    <t>Environmental Clearance NOC</t>
  </si>
  <si>
    <t>State Pollution Control Board consent to operate and environmental NOC</t>
  </si>
  <si>
    <t>AICTE Approval Process Handbook (APH 2024-27), Chapter II, Section 2.5</t>
  </si>
  <si>
    <t>EXPIRING_SOON</t>
  </si>
  <si>
    <t>s3://aicte-vault-prod/institutions/INST004/environmental_noc_v1.pdf</t>
  </si>
  <si>
    <t>Expires in 25 days relative to reference date (2026-10-25); automated renewal notice triggered.</t>
  </si>
  <si>
    <t>DOC-2026-0009</t>
  </si>
  <si>
    <t>APP008</t>
  </si>
  <si>
    <t>INST008</t>
  </si>
  <si>
    <t>Cloud LMS Server SLA &amp; Bandwidth Undertaking</t>
  </si>
  <si>
    <t>Minimum 1 Gbps dedicated server guarantee certificate for ODL/OL delivery</t>
  </si>
  <si>
    <t>UNVERIFIED — DEMO CONFIGURATION</t>
  </si>
  <si>
    <t>ROLE_APPROVAL_BUREAU</t>
  </si>
  <si>
    <t>s3://aicte-vault-prod/institutions/INST008/lms_bandwidth_sla_v1.pdf</t>
  </si>
  <si>
    <t>Illustrative requirement for SIH ODL/OL bandwidth prototype; flagged as demo rule.</t>
  </si>
  <si>
    <t>DOC-2026-0010</t>
  </si>
  <si>
    <t>APP005</t>
  </si>
  <si>
    <t>INST005</t>
  </si>
  <si>
    <t>NAAC Accreditation Certificate</t>
  </si>
  <si>
    <t>National Assessment and Accreditation Council Grade A+ certificate</t>
  </si>
  <si>
    <t>AICTE Approval Process Handbook (APH 2024-27), Chapter II, Section 2.8</t>
  </si>
  <si>
    <t>ROLE_EXECUTIVE_COMMITTEE</t>
  </si>
  <si>
    <t>s3://aicte-vault-prod/institutions/INST005/naac_cert_v1.pdf</t>
  </si>
  <si>
    <t>Multi-year EoA evaluated under active NAAC status; automated alert issued for renewal cycle.</t>
  </si>
  <si>
    <t>DOC-2026-0011</t>
  </si>
  <si>
    <t>APP014</t>
  </si>
  <si>
    <t>INST014</t>
  </si>
  <si>
    <t>Institutional Land Use Conversion Order</t>
  </si>
  <si>
    <t>Tehsildar/District Collector Non-Agricultural (NA) land conversion order</t>
  </si>
  <si>
    <t>AICTE Approval Process Handbook (APH 2024-27), Chapter I, Section 1.4</t>
  </si>
  <si>
    <t>s3://aicte-vault-prod/institutions/INST014/land_conversion_order_v1.pdf</t>
  </si>
  <si>
    <t>Land conversion validity elapsed prior to submission; deficiency notice issued to upload valid renewal order within compliance window rather than automatic application rejection.</t>
  </si>
  <si>
    <t>DOC-2026-0012</t>
  </si>
  <si>
    <t>APP009</t>
  </si>
  <si>
    <t>INST009</t>
  </si>
  <si>
    <t>Industry Collaboration MoU</t>
  </si>
  <si>
    <t>Bilateral MoU with manufacturing cluster for evening practical training sessions</t>
  </si>
  <si>
    <t>SUBMITTED</t>
  </si>
  <si>
    <t>ROLE_RO_CASE_WORKER</t>
  </si>
  <si>
    <t>s3://aicte-vault-prod/institutions/INST009/industry_cluster_mou_v1.pdf</t>
  </si>
  <si>
    <t>Freshly submitted under working professional route; desk officer review queued.</t>
  </si>
  <si>
    <t>DOC-2026-0013</t>
  </si>
  <si>
    <t>APP013</t>
  </si>
  <si>
    <t>INST013</t>
  </si>
  <si>
    <t>Trust Registration Certificate &amp; Bye-Laws</t>
  </si>
  <si>
    <t>Public Charitable Trust registration certificate issued by Charity Commissioner</t>
  </si>
  <si>
    <t>AICTE Approval Process Handbook (APH 2024-27), Appendix 3</t>
  </si>
  <si>
    <t>s3://aicte-vault-prod/institutions/INST013/trust_reg_deed_v1.pdf</t>
  </si>
  <si>
    <t>Perpetual registration deed; cleared for full Letter of Approval (LoA).</t>
  </si>
  <si>
    <t>DOC-2026-0014</t>
  </si>
  <si>
    <t>APP025</t>
  </si>
  <si>
    <t>INST015</t>
  </si>
  <si>
    <t>University Affiliation NOC</t>
  </si>
  <si>
    <t>State affiliating university provisional affiliation NOC for new institution</t>
  </si>
  <si>
    <t>AICTE Approval Process Handbook (APH 2024-27), Chapter I, Section 1.5</t>
  </si>
  <si>
    <t>s3://aicte-vault-prod/institutions/INST015/university_noc_ay2627_v1.pdf</t>
  </si>
  <si>
    <t>Annual provisional affiliation NOC verified by Scrutiny Committee. Harmonized from alternate ID to master APP025 / INST015 (203-RAMESHWARAM INSTITUTE) per Dataset 2 pairing; scheduled for annual renewal prior to AY 2027-28.</t>
  </si>
  <si>
    <t>Field Name</t>
  </si>
  <si>
    <t>Data Type</t>
  </si>
  <si>
    <t>Description</t>
  </si>
  <si>
    <t>Allowed Values / Constraints</t>
  </si>
  <si>
    <t>Sample Value</t>
  </si>
  <si>
    <t>String (Alphanumeric)</t>
  </si>
  <si>
    <t>Unique synthetic identifier for the document record in the compliance vault.</t>
  </si>
  <si>
    <t>Format: DOC-YYYY-NNNN. Non-null, unique primary key.</t>
  </si>
  <si>
    <t>Application identifier associated with this document submission.</t>
  </si>
  <si>
    <t>Foreign key referencing master Application_ID (APP001–APP025 from Dataset 2). Non-null.</t>
  </si>
  <si>
    <t>Master institution identifier for the owning educational institution.</t>
  </si>
  <si>
    <t>Foreign key referencing master Institution_ID (INST001–INST015 from Dataset 1). Non-null.</t>
  </si>
  <si>
    <t>String</t>
  </si>
  <si>
    <t>Category / title of statutory or compliance document uploaded by the applicant.</t>
  </si>
  <si>
    <t>Land Lease Deed, Building Plan Approval, Fire Safety Certificate, Structural Stability Certificate, etc.</t>
  </si>
  <si>
    <t>Detailed description of the specific instrument, scope, and certifying authority.</t>
  </si>
  <si>
    <t>Free descriptive text up to 500 characters.</t>
  </si>
  <si>
    <t>Regulatory mandate clause from AICTE Approval Process Handbook (APH 2024-27) or demo indicator.</t>
  </si>
  <si>
    <t>Official citation (e.g. APH Chapter/Appendix) OR 'UNVERIFIED — DEMO CONFIGURATION'.</t>
  </si>
  <si>
    <t>Boolean</t>
  </si>
  <si>
    <t>Flag indicating whether the document requirement is formally verified against the statutory AICTE APH handbook.</t>
  </si>
  <si>
    <t>TRUE, FALSE. Must be FALSE if source_reference is unverified.</t>
  </si>
  <si>
    <t>Flag indicating whether the rule/document requirement was created specifically for prototype demonstration purposes.</t>
  </si>
  <si>
    <t>TRUE, FALSE. Must be TRUE if is_verified_requirement is FALSE.</t>
  </si>
  <si>
    <t>Date (ISO 8601)</t>
  </si>
  <si>
    <t>Date on which the legal instrument or certificate was officially issued by certifying authority.</t>
  </si>
  <si>
    <t>YYYY-MM-DD. Must be prior to or equal to submitted_date.</t>
  </si>
  <si>
    <t>Date (ISO 8601) / String</t>
  </si>
  <si>
    <t>Official expiration date of document validity. Used for automated reminder and tracking triggers.</t>
  </si>
  <si>
    <t>YYYY-MM-DD or '-' for perpetual/non-expiring instruments.</t>
  </si>
  <si>
    <t>Date the document was uploaded and submitted by the institution via the AICTE approval portal.</t>
  </si>
  <si>
    <t>YYYY-MM-DD. Must be within the active application submission / deficiency window.</t>
  </si>
  <si>
    <t>Decimal / Numeric</t>
  </si>
  <si>
    <t>Sequential version of the document submitted for the given requirement and application.</t>
  </si>
  <si>
    <t>1, 2, 3, etc. Increments on replacement or resubmission.</t>
  </si>
  <si>
    <t>Pointer to the prior version document_id that this record supersedes or rectifies.</t>
  </si>
  <si>
    <t>Valid document_id (e.g. DOC-2026-0001) or '-' if initial version (v1).</t>
  </si>
  <si>
    <t>String (Enum)</t>
  </si>
  <si>
    <t>Current operational lifecycle status of the document relative to the fixed reference date (2026-10-25).</t>
  </si>
  <si>
    <t>VALID, EXPIRING_SOON, EXPIRED, UNDER_REVIEW, SUBMITTED, REJECTED, SUPERSEDED.</t>
  </si>
  <si>
    <t>Official administrative compliance determination by AICTE scrutiny committee or competent authority.</t>
  </si>
  <si>
    <t>VERIFIED, PENDING_VERIFICATION, DEFICIENCY_FLAGGED, REJECTED_FOR_CORRECTION, SUPERSEDED.</t>
  </si>
  <si>
    <t>System RBAC role responsible for reviewing and verifying the document upload.</t>
  </si>
  <si>
    <t>Foreign key referencing Role_Permissions.Role_Code (e.g. ROLE_SCRUTINY_MEMBER, ROLE_SAC_CHAIR).</t>
  </si>
  <si>
    <t>Date when the reviewing role recorded the verification decision or deficiency memo.</t>
  </si>
  <si>
    <t>YYYY-MM-DD or '-' if review is pending.</t>
  </si>
  <si>
    <t>Indicates whether document expiration mandates an active renewal workflow to maintain approval validity.</t>
  </si>
  <si>
    <t>TRUE, FALSE. Tracked workflow condition; does not trigger automatic rejection.</t>
  </si>
  <si>
    <t>Target deadline by which a renewed document or provisional acknowledgment must be submitted.</t>
  </si>
  <si>
    <t>YYYY-MM-DD or '-' if no renewal required.</t>
  </si>
  <si>
    <t>URI / String</t>
  </si>
  <si>
    <t>Fictional secure cloud storage location URI for the digital PDF file in compliance repository.</t>
  </si>
  <si>
    <t>URI format: s3://aicte-vault-prod/institutions/{institution_id}/{filename}.pdf</t>
  </si>
  <si>
    <t>Timestamp of the most recent system transaction, verification status update, or record sync.</t>
  </si>
  <si>
    <t>YYYY-MM-DD. Must be &lt;= reference_date (2026-10-25).</t>
  </si>
  <si>
    <t>Explanatory notes detailing simulated regulatory scenarios, compliance windows, and audit remarks.</t>
  </si>
  <si>
    <t>Descriptive text string explaining simulated workflow context.</t>
  </si>
  <si>
    <t>Topic</t>
  </si>
  <si>
    <t>Specification</t>
  </si>
  <si>
    <t>Operational Guidance &amp; Implementation Notes</t>
  </si>
  <si>
    <t>Dataset Title</t>
  </si>
  <si>
    <t>Dataset_6_Synthetic_Document_Validity_and_Renewal.xlsx</t>
  </si>
  <si>
    <t>Primary synthetic dataset supporting SIH26262 prototype compliance vault and document expiration monitoring.</t>
  </si>
  <si>
    <t>Prototype Context</t>
  </si>
  <si>
    <t>SIH26262 Integrated AICTE Approval Workflow Automation</t>
  </si>
  <si>
    <t>Demonstrates document lifecycle management, automated alerts, and RBAC-governed verification gates.</t>
  </si>
  <si>
    <t>Fixed Reference Date</t>
  </si>
  <si>
    <t>Standardized baseline date used for evaluating document status (Valid, Expiring Soon, Expired) and deadline timers.</t>
  </si>
  <si>
    <t>Expiry Rule Logic</t>
  </si>
  <si>
    <t>Tracked condition, NOT automatic penalty</t>
  </si>
  <si>
    <t>Document expiry triggers renewal notifications and deficiency compliance windows; it does not automatically reject applications or impose penalties.</t>
  </si>
  <si>
    <t>Expiring Soon Window</t>
  </si>
  <si>
    <t>Within 30–60 calendar days of reference date</t>
  </si>
  <si>
    <t>Proactively flags approaching renewals (e.g. DOC-2026-0008 expiring 2026-11-19, DOC-2026-0010 expiring 2026-11-29).</t>
  </si>
  <si>
    <t>Versioning Principle</t>
  </si>
  <si>
    <t>Parent-Child lineage via previous_version_document_id</t>
  </si>
  <si>
    <t>Replaced or rectified documents point to predecessor ID; versions increment sequentially (e.g. 1 -&gt; 2).</t>
  </si>
  <si>
    <t>Version Chain A</t>
  </si>
  <si>
    <t>DOC-2026-0001 (v1) -&gt; DOC-2026-0002 (v2)</t>
  </si>
  <si>
    <t>Land Lease Deed: 30-year lease expired August 2026; renewed for 30 years and verified during scrutiny.</t>
  </si>
  <si>
    <t>Version Chain B</t>
  </si>
  <si>
    <t>DOC-2026-0004 (v1) -&gt; DOC-2026-0005 (v2)</t>
  </si>
  <si>
    <t>Fire Safety NOC: Expired NOC flagged with deficiency memo; replaced by provisional NOC awaiting verification.</t>
  </si>
  <si>
    <t>Version Chain C</t>
  </si>
  <si>
    <t>DOC-2026-0006 (v1) -&gt; DOC-2026-0007 (v2)</t>
  </si>
  <si>
    <t>Structural Stability: v1 rejected due to missing seal; v2 resubmitted with Chief Engineer endorsement and verified at SAC.</t>
  </si>
  <si>
    <t>Regulatory Source Standard</t>
  </si>
  <si>
    <t>AICTE Approval Process Handbook (APH 2024-27)</t>
  </si>
  <si>
    <t>Verified requirements cite explicit handbook chapters/appendices (e.g. Chapter I, Appendix 3 &amp; 4).</t>
  </si>
  <si>
    <t>Unverified Demo Rules</t>
  </si>
  <si>
    <t>source_reference = 'UNVERIFIED — DEMO CONFIGURATION'</t>
  </si>
  <si>
    <t>Illustrative requirements marked with is_verified_requirement=FALSE and is_demo_rule=TRUE to prevent false compliance claims.</t>
  </si>
  <si>
    <t>RBAC Roles &amp; Verification</t>
  </si>
  <si>
    <t>Role_Permissions integration</t>
  </si>
  <si>
    <t>Reviewing stakeholders are mapped to canonical prototype roles (e.g. ROLE_SCRUTINY_MEMBER, ROLE_SAC_CHAIR, ROLE_APPROVAL_BUREAU).</t>
  </si>
  <si>
    <t>Storage Architecture</t>
  </si>
  <si>
    <t>Safe Synthetic S3 Cloud Storage URIs</t>
  </si>
  <si>
    <t>PDF storage locations use structured synthetic URIs (s3://aicte-vault-prod/institutions/{institution_id}/...) ensuring zero exposure of confidential data.</t>
  </si>
  <si>
    <t>Synthetic Data Disclaimer</t>
  </si>
  <si>
    <t>100% Mock Data &amp; Synthetic Records</t>
  </si>
  <si>
    <t>All document records, dates, and certificate numbers are entirely synthetic and generated exclusively for prototype testing.</t>
  </si>
  <si>
    <t>Referential Integrity</t>
  </si>
  <si>
    <t>Dataset 2 (Applications) &amp; Dataset 1 (Institutions) Mapping</t>
  </si>
  <si>
    <t>All application_id values reference Dataset 2 master (APP001–APP025) and institution_id values reference Dataset 1 master (INST001–INST015); ambiguous links flagged.</t>
  </si>
  <si>
    <t>Date Format Convention</t>
  </si>
  <si>
    <t>ISO 8601 (YYYY-MM-DD)</t>
  </si>
  <si>
    <t>All dates follow ISO 8601 standard for programmatic parsing and database timestamp conversion.</t>
  </si>
  <si>
    <t>System Maintenance</t>
  </si>
  <si>
    <t>Last Sync Timestamp: 2026-10-25</t>
  </si>
  <si>
    <t>Records generated and synchronized for prototype demonstration baseline.</t>
  </si>
  <si>
    <t>Dataset 6: Document Validity &amp; Compliance Integrity Audit Report</t>
  </si>
  <si>
    <t>Fixed Reference Baseline Date: 2026-10-25 | Evaluation Standard: AICTE APH 2024-27 | Target Dataset: Documents (N=14)</t>
  </si>
  <si>
    <t>TOTAL DOCUMENTS</t>
  </si>
  <si>
    <t>STATUTORY VERIFIED</t>
  </si>
  <si>
    <t>EXPIRING / EXPIRED</t>
  </si>
  <si>
    <t>AUDIT PASS RATE</t>
  </si>
  <si>
    <t>14 Synthetic Records</t>
  </si>
  <si>
    <t>12 Handbook / 2 Demo</t>
  </si>
  <si>
    <t>Proactive Alert Window</t>
  </si>
  <si>
    <t>7 of 7 Checks Passed</t>
  </si>
  <si>
    <t>AUTOMATED 7-DIMENSION DATA INTEGRITY AUDIT MATRIX</t>
  </si>
  <si>
    <t>Check ID</t>
  </si>
  <si>
    <t>Integrity Dimension &amp; Quality Rule</t>
  </si>
  <si>
    <t>Audit Status</t>
  </si>
  <si>
    <t>Violations</t>
  </si>
  <si>
    <t>Evaluated Scope</t>
  </si>
  <si>
    <t>Formula Verification Logic</t>
  </si>
  <si>
    <t>Audit Finding &amp; Quality Observation</t>
  </si>
  <si>
    <t>CHK-01</t>
  </si>
  <si>
    <t>Primary Key Uniqueness (Duplicate Document IDs)</t>
  </si>
  <si>
    <t>Documents!A2:A15</t>
  </si>
  <si>
    <t>COUNTA - COUNTUNIQUE</t>
  </si>
  <si>
    <t>All 14 document IDs are unique non-null primary keys (DOC-2026-0001 to DOC-2026-0014).</t>
  </si>
  <si>
    <t>CHK-02</t>
  </si>
  <si>
    <t>Version Lineage Integrity (Broken Predecessor Links)</t>
  </si>
  <si>
    <t>Documents!M2:M15</t>
  </si>
  <si>
    <t>MATCH(previous_version_id, document_id)</t>
  </si>
  <si>
    <t>All 3 version chains (DOC-0002-&gt;0001, DOC-0005-&gt;0004, DOC-0007-&gt;0006) resolve cleanly.</t>
  </si>
  <si>
    <t>CHK-03</t>
  </si>
  <si>
    <t>Chronological Feasibility (Issue Date &lt;= Submitted Date)</t>
  </si>
  <si>
    <t>Documents!I2:I15 vs K2:K15</t>
  </si>
  <si>
    <t>SUMPRODUCT(issue_date &gt; submitted_date)</t>
  </si>
  <si>
    <t>All issue dates are chronologically prior or equal to portal submission timestamps.</t>
  </si>
  <si>
    <t>CHK-04</t>
  </si>
  <si>
    <t>Expiry Timeline Consistency (Issue Date &lt; Expiry Date)</t>
  </si>
  <si>
    <t>Documents!I2:I15 vs J2:J15</t>
  </si>
  <si>
    <t>SUMPRODUCT(issue_date &gt;= expiry_date)</t>
  </si>
  <si>
    <t>All expiring instruments extend past issue date; perpetual instruments marked '-'.</t>
  </si>
  <si>
    <t>CHK-05</t>
  </si>
  <si>
    <t>Status Logic Consistency (Superseded &amp; Expiry Alignment)</t>
  </si>
  <si>
    <t>Documents!N2:N15 vs O2:O15</t>
  </si>
  <si>
    <t>SUMPRODUCT(conflicting lifecycle states)</t>
  </si>
  <si>
    <t>Document statuses (VALID, EXPIRING_SOON, EXPIRED, SUPERSEDED) align strictly with scrutiny.</t>
  </si>
  <si>
    <t>CHK-06</t>
  </si>
  <si>
    <t>Foreign Key Reference Integrity (Application &amp; Institute IDs)</t>
  </si>
  <si>
    <t>Documents!B2:C15</t>
  </si>
  <si>
    <t>SUMPRODUCT(LEN(app_id)=0 + LEN(inst_id)=0)</t>
  </si>
  <si>
    <t>All 14 records maintain populated, valid Application IDs (APP001–APP025) and Institute IDs (INST001–INST015) harmonized to master datasets.</t>
  </si>
  <si>
    <t>CHK-07</t>
  </si>
  <si>
    <t>Regulatory Citation Compliance (Verified vs Demo Rules)</t>
  </si>
  <si>
    <t>Documents!G2:H15</t>
  </si>
  <si>
    <t>SUMPRODUCT(conflicting boolean flags)</t>
  </si>
  <si>
    <t>Official AICTE APH citations strictly bifurcated from demo rules (12 verified, 2 demo rules).</t>
  </si>
  <si>
    <t>Total</t>
  </si>
  <si>
    <t>Overall 7-Dimension Data Integrity Audit Summary</t>
  </si>
  <si>
    <t>14 Documents Audited</t>
  </si>
  <si>
    <t>SUM(Violations CHK-01:CHK-07)</t>
  </si>
  <si>
    <t>All 7 data integrity dimensions fully verified with 0 defects detected.</t>
  </si>
  <si>
    <t>DOCUMENT LIFECYCLE &amp; REGULATORY STATUS BREAKDOWN</t>
  </si>
  <si>
    <t>Lifecycle Status</t>
  </si>
  <si>
    <t>Record Count</t>
  </si>
  <si>
    <t>Portfolio Share</t>
  </si>
  <si>
    <t>Verification Determinations</t>
  </si>
  <si>
    <t>Operational Follow-Up Action</t>
  </si>
  <si>
    <t>Associated Version Lineages</t>
  </si>
  <si>
    <t>Regulatory Governance Norm</t>
  </si>
  <si>
    <t>Standard monitoring; eligible for approval clearance</t>
  </si>
  <si>
    <t>DOC-0002 (v2), DOC-0003, DOC-0007 (v2), DOC-0009, DOC-0013, DOC-0014</t>
  </si>
  <si>
    <t>Compliant with AICTE APH 2024-27 norms</t>
  </si>
  <si>
    <t>Automated renewal notification triggered (&lt;60 days remaining)</t>
  </si>
  <si>
    <t>DOC-0008 (Pollution NOC), DOC-0010 (NAAC Cert)</t>
  </si>
  <si>
    <t>Proactive tracking prevents compliance lapse</t>
  </si>
  <si>
    <t>Deficiency compliance window opened; upload renewal within 10 days</t>
  </si>
  <si>
    <t>DOC-0004 (Fire NOC v1), DOC-0011 (Land Use v1)</t>
  </si>
  <si>
    <t>Tracked condition; does not trigger automatic withdrawal or application rejection</t>
  </si>
  <si>
    <t>Queued for Scrutiny Committee re-verification</t>
  </si>
  <si>
    <t>DOC-0005 (Fire NOC v2 replacing DOC-0004)</t>
  </si>
  <si>
    <t>Deficiency compliance window review</t>
  </si>
  <si>
    <t>Queued for RO Case Worker desk evaluation</t>
  </si>
  <si>
    <t>DOC-0012 (Working Professional MoU v1)</t>
  </si>
  <si>
    <t>Initial intake verification pending</t>
  </si>
  <si>
    <t>Deficiency memo issued; requires resubmission with official seal</t>
  </si>
  <si>
    <t>DOC-0006 (Structural cert v1, rectified by DOC-0007)</t>
  </si>
  <si>
    <t>Deficiency notice issued; rectified via SAC appeal</t>
  </si>
  <si>
    <t>Historical record archived in vault; replaced by renewed document</t>
  </si>
  <si>
    <t>DOC-0001 (Lease deed v1, replaced by DOC-0002 v2)</t>
  </si>
  <si>
    <t>Preserved in vault for audit trail; non-active</t>
  </si>
  <si>
    <t>Total Portfolio</t>
  </si>
  <si>
    <t>7 Lifecycle States Monitored</t>
  </si>
  <si>
    <t>Continuous Automated Monitoring Across All Stages</t>
  </si>
  <si>
    <t>3 Version Chains (Lineage A, B, C) Maintained</t>
  </si>
  <si>
    <t>100% Synthetic Records (SIH26262 Prototype)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</si>
</sst>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0.0%"/>
  </numFmts>
  <fonts count="18">
    <font>
      <sz val="10.0"/>
      <color rgb="FF000000"/>
      <name val="Arial"/>
      <scheme val="minor"/>
    </font>
    <font>
      <b/>
      <sz val="10.0"/>
      <color rgb="FFFFFFFF"/>
      <name val="Roboto"/>
    </font>
    <font>
      <sz val="9.0"/>
      <color theme="1"/>
      <name val="Arial"/>
      <scheme val="minor"/>
    </font>
    <font>
      <b/>
      <sz val="9.0"/>
      <color theme="1"/>
      <name val="Arial"/>
      <scheme val="minor"/>
    </font>
    <font>
      <b/>
      <sz val="15.0"/>
      <color rgb="FF002A49"/>
      <name val="Roboto"/>
    </font>
    <font>
      <i/>
      <sz val="9.0"/>
      <color rgb="FF596884"/>
      <name val="Roboto"/>
    </font>
    <font>
      <b/>
      <sz val="9.0"/>
      <color rgb="FF2B3D4F"/>
      <name val="Roboto"/>
    </font>
    <font/>
    <font>
      <b/>
      <sz val="18.0"/>
      <color rgb="FF002A49"/>
      <name val="Roboto"/>
    </font>
    <font>
      <b/>
      <sz val="18.0"/>
      <color rgb="FF127333"/>
      <name val="Roboto"/>
    </font>
    <font>
      <sz val="8.0"/>
      <color rgb="FF707F95"/>
      <name val="Roboto"/>
    </font>
    <font>
      <b/>
      <sz val="9.0"/>
      <color rgb="FFFFFFFF"/>
      <name val="Roboto"/>
    </font>
    <font>
      <sz val="9.0"/>
      <color theme="1"/>
      <name val="Roboto"/>
    </font>
    <font>
      <b/>
      <sz val="9.0"/>
      <color rgb="FF127333"/>
      <name val="Roboto"/>
    </font>
    <font>
      <b/>
      <color theme="1"/>
      <name val="Arial"/>
      <scheme val="minor"/>
    </font>
    <font>
      <b/>
      <sz val="9.0"/>
      <color rgb="FF002A49"/>
      <name val="Roboto"/>
    </font>
    <font>
      <b/>
      <sz val="9.0"/>
      <color rgb="FF155724"/>
      <name val="Roboto"/>
    </font>
    <font>
      <b/>
      <sz val="9.0"/>
      <color theme="1"/>
      <name val="Roboto"/>
    </font>
  </fonts>
  <fills count="12">
    <fill>
      <patternFill patternType="none"/>
    </fill>
    <fill>
      <patternFill patternType="lightGray"/>
    </fill>
    <fill>
      <patternFill patternType="solid">
        <fgColor rgb="FF002A49"/>
        <bgColor rgb="FF002A49"/>
      </patternFill>
    </fill>
    <fill>
      <patternFill patternType="solid">
        <fgColor rgb="FFFFFFFF"/>
        <bgColor rgb="FFFFFFFF"/>
      </patternFill>
    </fill>
    <fill>
      <patternFill patternType="solid">
        <fgColor rgb="FFF4F6FA"/>
        <bgColor rgb="FFF4F6FA"/>
      </patternFill>
    </fill>
    <fill>
      <patternFill patternType="solid">
        <fgColor rgb="FF4B5C92"/>
        <bgColor rgb="FF4B5C92"/>
      </patternFill>
    </fill>
    <fill>
      <patternFill patternType="solid">
        <fgColor rgb="FFEAF1F5"/>
        <bgColor rgb="FFEAF1F5"/>
      </patternFill>
    </fill>
    <fill>
      <patternFill patternType="solid">
        <fgColor rgb="FFF7FAFB"/>
        <bgColor rgb="FFF7FAFB"/>
      </patternFill>
    </fill>
    <fill>
      <patternFill patternType="solid">
        <fgColor rgb="FF124A73"/>
        <bgColor rgb="FF124A73"/>
      </patternFill>
    </fill>
    <fill>
      <patternFill patternType="solid">
        <fgColor rgb="FFE6F4E9"/>
        <bgColor rgb="FFE6F4E9"/>
      </patternFill>
    </fill>
    <fill>
      <patternFill patternType="solid">
        <fgColor rgb="FFE7EDF5"/>
        <bgColor rgb="FFE7EDF5"/>
      </patternFill>
    </fill>
    <fill>
      <patternFill patternType="solid">
        <fgColor rgb="FFD4ECD9"/>
        <bgColor rgb="FFD4ECD9"/>
      </patternFill>
    </fill>
  </fills>
  <borders count="19">
    <border/>
    <border>
      <left style="thin">
        <color rgb="FFD0D6DE"/>
      </left>
      <top style="thin">
        <color rgb="FFD0D6DE"/>
      </top>
    </border>
    <border>
      <right style="thin">
        <color rgb="FFD0D6DE"/>
      </right>
      <top style="thin">
        <color rgb="FFD0D6DE"/>
      </top>
    </border>
    <border>
      <left style="thin">
        <color rgb="FFD0D6DE"/>
      </left>
      <right style="thin">
        <color rgb="FFD0D6DE"/>
      </right>
      <top style="thin">
        <color rgb="FFD0D6DE"/>
      </top>
    </border>
    <border>
      <left style="thin">
        <color rgb="FFD0D6DE"/>
      </left>
    </border>
    <border>
      <right style="thin">
        <color rgb="FFD0D6DE"/>
      </right>
    </border>
    <border>
      <left style="thin">
        <color rgb="FFD0D6DE"/>
      </left>
      <right style="thin">
        <color rgb="FFD0D6DE"/>
      </right>
    </border>
    <border>
      <left style="thin">
        <color rgb="FFD0D6DE"/>
      </left>
      <bottom style="thin">
        <color rgb="FFD0D6DE"/>
      </bottom>
    </border>
    <border>
      <right style="thin">
        <color rgb="FFD0D6DE"/>
      </right>
      <bottom style="thin">
        <color rgb="FFD0D6DE"/>
      </bottom>
    </border>
    <border>
      <left style="thin">
        <color rgb="FFD0D6DE"/>
      </left>
      <right style="thin">
        <color rgb="FFD0D6DE"/>
      </right>
      <bottom style="thin">
        <color rgb="FFD0D6DE"/>
      </bottom>
    </border>
    <border>
      <left style="thin">
        <color rgb="FFD0D6DE"/>
      </left>
      <right style="thin">
        <color rgb="FFE0E5ED"/>
      </right>
      <top style="medium">
        <color rgb="FF002A49"/>
      </top>
      <bottom style="thin">
        <color rgb="FFE0E5ED"/>
      </bottom>
    </border>
    <border>
      <left style="thin">
        <color rgb="FFE0E5ED"/>
      </left>
      <right style="thin">
        <color rgb="FFE0E5ED"/>
      </right>
      <top style="medium">
        <color rgb="FF002A49"/>
      </top>
      <bottom style="thin">
        <color rgb="FFE0E5ED"/>
      </bottom>
    </border>
    <border>
      <left style="thin">
        <color rgb="FFE0E5ED"/>
      </left>
      <right style="thin">
        <color rgb="FFD0D6DE"/>
      </right>
      <top style="medium">
        <color rgb="FF002A49"/>
      </top>
      <bottom style="thin">
        <color rgb="FFE0E5ED"/>
      </bottom>
    </border>
    <border>
      <left style="thin">
        <color rgb="FFD0D6DE"/>
      </left>
      <right style="thin">
        <color rgb="FFE0E5ED"/>
      </right>
      <top style="thin">
        <color rgb="FFE0E5ED"/>
      </top>
      <bottom style="thin">
        <color rgb="FFE0E5ED"/>
      </bottom>
    </border>
    <border>
      <left style="thin">
        <color rgb="FFE0E5ED"/>
      </left>
      <right style="thin">
        <color rgb="FFE0E5ED"/>
      </right>
      <top style="thin">
        <color rgb="FFE0E5ED"/>
      </top>
      <bottom style="thin">
        <color rgb="FFE0E5ED"/>
      </bottom>
    </border>
    <border>
      <left style="thin">
        <color rgb="FFE0E5ED"/>
      </left>
      <right style="thin">
        <color rgb="FFD0D6DE"/>
      </right>
      <top style="thin">
        <color rgb="FFE0E5ED"/>
      </top>
      <bottom style="thin">
        <color rgb="FFE0E5ED"/>
      </bottom>
    </border>
    <border>
      <left style="thin">
        <color rgb="FFD0D6DE"/>
      </left>
      <right style="thin">
        <color rgb="FFE0E5ED"/>
      </right>
      <top style="thin">
        <color rgb="FFE0E5ED"/>
      </top>
      <bottom style="double">
        <color rgb="FF002A49"/>
      </bottom>
    </border>
    <border>
      <left style="thin">
        <color rgb="FFE0E5ED"/>
      </left>
      <right style="thin">
        <color rgb="FFE0E5ED"/>
      </right>
      <top style="thin">
        <color rgb="FFE0E5ED"/>
      </top>
      <bottom style="double">
        <color rgb="FF002A49"/>
      </bottom>
    </border>
    <border>
      <left style="thin">
        <color rgb="FFE0E5ED"/>
      </left>
      <right style="thin">
        <color rgb="FFD0D6DE"/>
      </right>
      <top style="thin">
        <color rgb="FFE0E5ED"/>
      </top>
      <bottom style="double">
        <color rgb="FF002A49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Alignment="1" applyFill="1" applyFont="1">
      <alignment horizontal="center" readingOrder="0" shrinkToFit="0" vertical="top" wrapText="1"/>
    </xf>
    <xf borderId="0" fillId="3" fontId="2" numFmtId="0" xfId="0" applyAlignment="1" applyFill="1" applyFont="1">
      <alignment horizontal="left" readingOrder="0" shrinkToFit="0" vertical="top" wrapText="1"/>
    </xf>
    <xf borderId="0" fillId="3" fontId="2" numFmtId="164" xfId="0" applyAlignment="1" applyFill="1" applyFont="1" applyNumberFormat="1">
      <alignment horizontal="center" readingOrder="0" shrinkToFit="0" vertical="top" wrapText="1"/>
    </xf>
    <xf borderId="0" fillId="4" fontId="2" numFmtId="0" xfId="0" applyAlignment="1" applyFill="1" applyFont="1">
      <alignment horizontal="center" readingOrder="0" shrinkToFit="0" vertical="top" wrapText="1"/>
    </xf>
    <xf borderId="0" fillId="4" fontId="2" numFmtId="0" xfId="0" applyAlignment="1" applyFill="1" applyFont="1">
      <alignment horizontal="left" readingOrder="0" shrinkToFit="0" vertical="top" wrapText="1"/>
    </xf>
    <xf borderId="0" fillId="4" fontId="2" numFmtId="164" xfId="0" applyAlignment="1" applyFill="1" applyFont="1" applyNumberFormat="1">
      <alignment horizontal="center" readingOrder="0" shrinkToFit="0" vertical="top" wrapText="1"/>
    </xf>
    <xf borderId="0" fillId="3" fontId="3" numFmtId="0" xfId="0" applyAlignment="1" applyFill="1" applyFont="1">
      <alignment horizontal="left" readingOrder="0" shrinkToFit="0" vertical="top" wrapText="1"/>
    </xf>
    <xf borderId="0" fillId="4" fontId="3" numFmtId="0" xfId="0" applyAlignment="1" applyFill="1" applyFont="1">
      <alignment horizontal="left" readingOrder="0" shrinkToFit="0" vertical="top" wrapText="1"/>
    </xf>
    <xf borderId="0" fillId="3" fontId="2" numFmtId="164" xfId="0" applyAlignment="1" applyFill="1" applyFont="1" applyNumberFormat="1">
      <alignment horizontal="left" readingOrder="0" shrinkToFit="0" vertical="top" wrapText="1"/>
    </xf>
    <xf borderId="0" fillId="4" fontId="2" numFmtId="164" xfId="0" applyAlignment="1" applyFill="1" applyFont="1" applyNumberFormat="1">
      <alignment horizontal="left" readingOrder="0" shrinkToFit="0" vertical="top" wrapText="1"/>
    </xf>
    <xf borderId="0" fillId="5" fontId="1" numFmtId="0" xfId="0" applyAlignment="1" applyFill="1" applyFont="1">
      <alignment horizontal="center" readingOrder="0" shrinkToFit="0" vertical="center" wrapText="1"/>
    </xf>
    <xf borderId="0" fillId="0" fontId="3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horizontal="left" readingOrder="0" shrinkToFit="0" vertical="top" wrapText="1"/>
    </xf>
    <xf borderId="0" fillId="0" fontId="2" numFmtId="164" xfId="0" applyAlignment="1" applyFont="1" applyNumberFormat="1">
      <alignment horizontal="left" readingOrder="0" shrinkToFit="0" vertical="top" wrapText="1"/>
    </xf>
    <xf borderId="0" fillId="0" fontId="4" numFmtId="0" xfId="0" applyAlignment="1" applyFont="1">
      <alignment readingOrder="0" vertical="center"/>
    </xf>
    <xf borderId="0" fillId="0" fontId="5" numFmtId="0" xfId="0" applyAlignment="1" applyFont="1">
      <alignment readingOrder="0" vertical="center"/>
    </xf>
    <xf borderId="1" fillId="6" fontId="6" numFmtId="0" xfId="0" applyAlignment="1" applyBorder="1" applyFill="1" applyFont="1">
      <alignment horizontal="center" readingOrder="0" vertical="center"/>
    </xf>
    <xf borderId="2" fillId="0" fontId="7" numFmtId="0" xfId="0" applyBorder="1" applyFont="1"/>
    <xf borderId="3" fillId="6" fontId="6" numFmtId="0" xfId="0" applyAlignment="1" applyBorder="1" applyFill="1" applyFont="1">
      <alignment horizontal="center" readingOrder="0" vertical="center"/>
    </xf>
    <xf borderId="4" fillId="3" fontId="8" numFmtId="0" xfId="0" applyAlignment="1" applyBorder="1" applyFill="1" applyFont="1">
      <alignment horizontal="center" readingOrder="0" vertical="center"/>
    </xf>
    <xf borderId="5" fillId="0" fontId="7" numFmtId="0" xfId="0" applyBorder="1" applyFont="1"/>
    <xf borderId="6" fillId="3" fontId="9" numFmtId="165" xfId="0" applyAlignment="1" applyBorder="1" applyFill="1" applyFont="1" applyNumberFormat="1">
      <alignment horizontal="center" vertical="center"/>
    </xf>
    <xf borderId="7" fillId="7" fontId="10" numFmtId="0" xfId="0" applyAlignment="1" applyBorder="1" applyFill="1" applyFont="1">
      <alignment horizontal="center" readingOrder="0" vertical="center"/>
    </xf>
    <xf borderId="8" fillId="0" fontId="7" numFmtId="0" xfId="0" applyBorder="1" applyFont="1"/>
    <xf borderId="9" fillId="7" fontId="10" numFmtId="0" xfId="0" applyAlignment="1" applyBorder="1" applyFill="1" applyFont="1">
      <alignment horizontal="center" readingOrder="0" vertical="center"/>
    </xf>
    <xf borderId="0" fillId="2" fontId="1" numFmtId="0" xfId="0" applyAlignment="1" applyFill="1" applyFont="1">
      <alignment readingOrder="0" vertical="center"/>
    </xf>
    <xf borderId="10" fillId="8" fontId="11" numFmtId="0" xfId="0" applyAlignment="1" applyBorder="1" applyFill="1" applyFont="1">
      <alignment readingOrder="0" vertical="center"/>
    </xf>
    <xf borderId="11" fillId="8" fontId="11" numFmtId="0" xfId="0" applyAlignment="1" applyBorder="1" applyFill="1" applyFont="1">
      <alignment readingOrder="0" vertical="center"/>
    </xf>
    <xf borderId="12" fillId="8" fontId="11" numFmtId="0" xfId="0" applyAlignment="1" applyBorder="1" applyFill="1" applyFont="1">
      <alignment readingOrder="0" vertical="center"/>
    </xf>
    <xf borderId="13" fillId="3" fontId="12" numFmtId="0" xfId="0" applyAlignment="1" applyBorder="1" applyFill="1" applyFont="1">
      <alignment horizontal="center" readingOrder="0" vertical="center"/>
    </xf>
    <xf borderId="14" fillId="3" fontId="12" numFmtId="0" xfId="0" applyAlignment="1" applyBorder="1" applyFill="1" applyFont="1">
      <alignment readingOrder="0" vertical="center"/>
    </xf>
    <xf borderId="14" fillId="9" fontId="13" numFmtId="0" xfId="0" applyAlignment="1" applyBorder="1" applyFill="1" applyFont="1">
      <alignment horizontal="center" vertical="center"/>
    </xf>
    <xf borderId="14" fillId="3" fontId="14" numFmtId="1" xfId="0" applyAlignment="1" applyBorder="1" applyFill="1" applyFont="1" applyNumberFormat="1">
      <alignment horizontal="right" vertical="center"/>
    </xf>
    <xf borderId="15" fillId="3" fontId="12" numFmtId="0" xfId="0" applyAlignment="1" applyBorder="1" applyFill="1" applyFont="1">
      <alignment readingOrder="0" vertical="center"/>
    </xf>
    <xf borderId="13" fillId="4" fontId="12" numFmtId="0" xfId="0" applyAlignment="1" applyBorder="1" applyFill="1" applyFont="1">
      <alignment horizontal="center" readingOrder="0" vertical="center"/>
    </xf>
    <xf borderId="14" fillId="4" fontId="12" numFmtId="0" xfId="0" applyAlignment="1" applyBorder="1" applyFill="1" applyFont="1">
      <alignment readingOrder="0" vertical="center"/>
    </xf>
    <xf borderId="14" fillId="4" fontId="14" numFmtId="1" xfId="0" applyAlignment="1" applyBorder="1" applyFill="1" applyFont="1" applyNumberFormat="1">
      <alignment horizontal="right" vertical="center"/>
    </xf>
    <xf borderId="15" fillId="4" fontId="12" numFmtId="0" xfId="0" applyAlignment="1" applyBorder="1" applyFill="1" applyFont="1">
      <alignment readingOrder="0" vertical="center"/>
    </xf>
    <xf borderId="16" fillId="10" fontId="15" numFmtId="0" xfId="0" applyAlignment="1" applyBorder="1" applyFill="1" applyFont="1">
      <alignment readingOrder="0" vertical="center"/>
    </xf>
    <xf borderId="17" fillId="10" fontId="15" numFmtId="0" xfId="0" applyAlignment="1" applyBorder="1" applyFill="1" applyFont="1">
      <alignment readingOrder="0" vertical="center"/>
    </xf>
    <xf borderId="17" fillId="11" fontId="16" numFmtId="0" xfId="0" applyAlignment="1" applyBorder="1" applyFill="1" applyFont="1">
      <alignment horizontal="center" vertical="center"/>
    </xf>
    <xf borderId="17" fillId="10" fontId="15" numFmtId="1" xfId="0" applyAlignment="1" applyBorder="1" applyFill="1" applyFont="1" applyNumberFormat="1">
      <alignment horizontal="right" vertical="center"/>
    </xf>
    <xf borderId="18" fillId="10" fontId="15" numFmtId="0" xfId="0" applyAlignment="1" applyBorder="1" applyFill="1" applyFont="1">
      <alignment readingOrder="0" vertical="center"/>
    </xf>
    <xf borderId="13" fillId="3" fontId="17" numFmtId="0" xfId="0" applyAlignment="1" applyBorder="1" applyFill="1" applyFont="1">
      <alignment readingOrder="0" vertical="center"/>
    </xf>
    <xf borderId="14" fillId="3" fontId="12" numFmtId="1" xfId="0" applyAlignment="1" applyBorder="1" applyFill="1" applyFont="1" applyNumberFormat="1">
      <alignment horizontal="right" vertical="center"/>
    </xf>
    <xf borderId="14" fillId="3" fontId="12" numFmtId="165" xfId="0" applyAlignment="1" applyBorder="1" applyFill="1" applyFont="1" applyNumberFormat="1">
      <alignment horizontal="right" vertical="center"/>
    </xf>
    <xf borderId="13" fillId="4" fontId="17" numFmtId="0" xfId="0" applyAlignment="1" applyBorder="1" applyFill="1" applyFont="1">
      <alignment readingOrder="0" vertical="center"/>
    </xf>
    <xf borderId="14" fillId="4" fontId="12" numFmtId="1" xfId="0" applyAlignment="1" applyBorder="1" applyFill="1" applyFont="1" applyNumberFormat="1">
      <alignment horizontal="right" vertical="center"/>
    </xf>
    <xf borderId="14" fillId="4" fontId="12" numFmtId="165" xfId="0" applyAlignment="1" applyBorder="1" applyFill="1" applyFont="1" applyNumberFormat="1">
      <alignment horizontal="right" vertical="center"/>
    </xf>
    <xf borderId="17" fillId="10" fontId="15" numFmtId="165" xfId="0" applyAlignment="1" applyBorder="1" applyFill="1" applyFont="1" applyNumberFormat="1">
      <alignment horizontal="right"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002A49"/>
          <bgColor rgb="FF002A4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4F6FA"/>
          <bgColor rgb="FFF4F6FA"/>
        </patternFill>
      </fill>
      <border/>
    </dxf>
  </dxfs>
  <tableStyles count="1">
    <tableStyle count="3" pivot="0" name="Read_M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18" displayName="Table_1" name="Table_1" id="1">
  <tableColumns count="3">
    <tableColumn name="Topic" id="1"/>
    <tableColumn name="Specification" id="2"/>
    <tableColumn name="Operational Guidance &amp; Implementation Notes" id="3"/>
  </tableColumns>
  <tableStyleInfo name="Read_M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E3989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38"/>
    <col customWidth="1" min="2" max="2" width="14.13"/>
    <col customWidth="1" min="3" max="3" width="13.38"/>
    <col customWidth="1" min="4" max="4" width="24.38"/>
    <col customWidth="1" min="5" max="5" width="35.38"/>
    <col customWidth="1" min="6" max="6" width="34.38"/>
    <col customWidth="1" min="7" max="7" width="17.38"/>
    <col customWidth="1" min="8" max="8" width="13.63"/>
    <col customWidth="1" min="9" max="9" width="11.75"/>
    <col customWidth="1" min="10" max="10" width="12.25"/>
    <col customWidth="1" min="11" max="11" width="14.5"/>
    <col customWidth="1" min="12" max="12" width="15.63"/>
    <col customWidth="1" min="13" max="13" width="23.38"/>
    <col customWidth="1" min="14" max="14" width="16.75"/>
    <col customWidth="1" min="15" max="15" width="20.75"/>
    <col customWidth="1" min="16" max="16" width="21.63"/>
    <col customWidth="1" min="17" max="17" width="14.5"/>
    <col customWidth="1" min="18" max="18" width="16.5"/>
    <col customWidth="1" min="19" max="19" width="16.38"/>
    <col customWidth="1" min="20" max="20" width="33.75"/>
    <col customWidth="1" min="21" max="21" width="13.38"/>
    <col customWidth="1" min="22" max="22" width="38.0"/>
  </cols>
  <sheetData>
    <row r="1" ht="27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ht="33.75" customHeight="1">
      <c r="A2" s="2" t="s">
        <v>22</v>
      </c>
      <c r="B2" s="2" t="s">
        <v>23</v>
      </c>
      <c r="C2" s="2" t="s">
        <v>24</v>
      </c>
      <c r="D2" s="3" t="s">
        <v>25</v>
      </c>
      <c r="E2" s="3" t="s">
        <v>26</v>
      </c>
      <c r="F2" s="3" t="s">
        <v>27</v>
      </c>
      <c r="G2" s="2" t="b">
        <v>1</v>
      </c>
      <c r="H2" s="2" t="b">
        <v>0</v>
      </c>
      <c r="I2" s="4">
        <v>35292.0</v>
      </c>
      <c r="J2" s="4">
        <v>46248.0</v>
      </c>
      <c r="K2" s="4">
        <v>46280.0</v>
      </c>
      <c r="L2" s="2">
        <v>1.0</v>
      </c>
      <c r="M2" s="2" t="s">
        <v>28</v>
      </c>
      <c r="N2" s="2" t="s">
        <v>29</v>
      </c>
      <c r="O2" s="2" t="s">
        <v>29</v>
      </c>
      <c r="P2" s="3" t="s">
        <v>30</v>
      </c>
      <c r="Q2" s="4">
        <v>46287.0</v>
      </c>
      <c r="R2" s="2" t="b">
        <v>1</v>
      </c>
      <c r="S2" s="4">
        <v>46248.0</v>
      </c>
      <c r="T2" s="3" t="s">
        <v>31</v>
      </c>
      <c r="U2" s="4">
        <v>46305.0</v>
      </c>
      <c r="V2" s="3" t="s">
        <v>32</v>
      </c>
    </row>
    <row r="3" ht="33.75" customHeight="1">
      <c r="A3" s="5" t="s">
        <v>33</v>
      </c>
      <c r="B3" s="5" t="s">
        <v>23</v>
      </c>
      <c r="C3" s="5" t="s">
        <v>24</v>
      </c>
      <c r="D3" s="6" t="s">
        <v>25</v>
      </c>
      <c r="E3" s="6" t="s">
        <v>34</v>
      </c>
      <c r="F3" s="6" t="s">
        <v>27</v>
      </c>
      <c r="G3" s="5" t="b">
        <v>1</v>
      </c>
      <c r="H3" s="5" t="b">
        <v>0</v>
      </c>
      <c r="I3" s="7">
        <v>46244.0</v>
      </c>
      <c r="J3" s="7">
        <v>57201.0</v>
      </c>
      <c r="K3" s="7">
        <v>46303.0</v>
      </c>
      <c r="L3" s="5">
        <v>2.0</v>
      </c>
      <c r="M3" s="5" t="s">
        <v>22</v>
      </c>
      <c r="N3" s="5" t="s">
        <v>35</v>
      </c>
      <c r="O3" s="5" t="s">
        <v>36</v>
      </c>
      <c r="P3" s="6" t="s">
        <v>30</v>
      </c>
      <c r="Q3" s="7">
        <v>46307.0</v>
      </c>
      <c r="R3" s="5" t="b">
        <v>0</v>
      </c>
      <c r="S3" s="7">
        <v>57201.0</v>
      </c>
      <c r="T3" s="6" t="s">
        <v>37</v>
      </c>
      <c r="U3" s="7">
        <v>46309.0</v>
      </c>
      <c r="V3" s="6" t="s">
        <v>38</v>
      </c>
    </row>
    <row r="4" ht="33.75" customHeight="1">
      <c r="A4" s="2" t="s">
        <v>39</v>
      </c>
      <c r="B4" s="2" t="s">
        <v>23</v>
      </c>
      <c r="C4" s="2" t="s">
        <v>24</v>
      </c>
      <c r="D4" s="3" t="s">
        <v>40</v>
      </c>
      <c r="E4" s="3" t="s">
        <v>41</v>
      </c>
      <c r="F4" s="3" t="s">
        <v>42</v>
      </c>
      <c r="G4" s="2" t="b">
        <v>1</v>
      </c>
      <c r="H4" s="2" t="b">
        <v>0</v>
      </c>
      <c r="I4" s="4">
        <v>44265.0</v>
      </c>
      <c r="J4" s="4">
        <v>47916.0</v>
      </c>
      <c r="K4" s="4">
        <v>46280.0</v>
      </c>
      <c r="L4" s="2">
        <v>1.0</v>
      </c>
      <c r="M4" s="2" t="s">
        <v>28</v>
      </c>
      <c r="N4" s="2" t="s">
        <v>35</v>
      </c>
      <c r="O4" s="2" t="s">
        <v>36</v>
      </c>
      <c r="P4" s="3" t="s">
        <v>30</v>
      </c>
      <c r="Q4" s="4">
        <v>46287.0</v>
      </c>
      <c r="R4" s="2" t="b">
        <v>0</v>
      </c>
      <c r="S4" s="4">
        <v>47916.0</v>
      </c>
      <c r="T4" s="3" t="s">
        <v>43</v>
      </c>
      <c r="U4" s="4">
        <v>46287.0</v>
      </c>
      <c r="V4" s="3" t="s">
        <v>44</v>
      </c>
    </row>
    <row r="5" ht="33.75" customHeight="1">
      <c r="A5" s="5" t="s">
        <v>45</v>
      </c>
      <c r="B5" s="5" t="s">
        <v>46</v>
      </c>
      <c r="C5" s="5" t="s">
        <v>47</v>
      </c>
      <c r="D5" s="6" t="s">
        <v>48</v>
      </c>
      <c r="E5" s="6" t="s">
        <v>49</v>
      </c>
      <c r="F5" s="6" t="s">
        <v>42</v>
      </c>
      <c r="G5" s="5" t="b">
        <v>1</v>
      </c>
      <c r="H5" s="5" t="b">
        <v>0</v>
      </c>
      <c r="I5" s="7">
        <v>45931.0</v>
      </c>
      <c r="J5" s="7">
        <v>46295.0</v>
      </c>
      <c r="K5" s="7">
        <v>46285.0</v>
      </c>
      <c r="L5" s="5">
        <v>1.0</v>
      </c>
      <c r="M5" s="5" t="s">
        <v>28</v>
      </c>
      <c r="N5" s="5" t="s">
        <v>50</v>
      </c>
      <c r="O5" s="5" t="s">
        <v>51</v>
      </c>
      <c r="P5" s="6" t="s">
        <v>30</v>
      </c>
      <c r="Q5" s="7">
        <v>46313.0</v>
      </c>
      <c r="R5" s="5" t="b">
        <v>1</v>
      </c>
      <c r="S5" s="7">
        <v>46295.0</v>
      </c>
      <c r="T5" s="6" t="s">
        <v>52</v>
      </c>
      <c r="U5" s="7">
        <v>46313.0</v>
      </c>
      <c r="V5" s="6" t="s">
        <v>53</v>
      </c>
    </row>
    <row r="6" ht="33.75" customHeight="1">
      <c r="A6" s="2" t="s">
        <v>54</v>
      </c>
      <c r="B6" s="2" t="s">
        <v>46</v>
      </c>
      <c r="C6" s="2" t="s">
        <v>47</v>
      </c>
      <c r="D6" s="3" t="s">
        <v>48</v>
      </c>
      <c r="E6" s="3" t="s">
        <v>55</v>
      </c>
      <c r="F6" s="3" t="s">
        <v>42</v>
      </c>
      <c r="G6" s="2" t="b">
        <v>1</v>
      </c>
      <c r="H6" s="2" t="b">
        <v>0</v>
      </c>
      <c r="I6" s="4">
        <v>46315.0</v>
      </c>
      <c r="J6" s="4">
        <v>46679.0</v>
      </c>
      <c r="K6" s="4">
        <v>46317.0</v>
      </c>
      <c r="L6" s="2">
        <v>2.0</v>
      </c>
      <c r="M6" s="2" t="s">
        <v>45</v>
      </c>
      <c r="N6" s="2" t="s">
        <v>56</v>
      </c>
      <c r="O6" s="2" t="s">
        <v>57</v>
      </c>
      <c r="P6" s="3" t="s">
        <v>30</v>
      </c>
      <c r="Q6" s="4" t="s">
        <v>28</v>
      </c>
      <c r="R6" s="2" t="b">
        <v>0</v>
      </c>
      <c r="S6" s="4">
        <v>46679.0</v>
      </c>
      <c r="T6" s="3" t="s">
        <v>58</v>
      </c>
      <c r="U6" s="4">
        <v>46317.0</v>
      </c>
      <c r="V6" s="3" t="s">
        <v>59</v>
      </c>
    </row>
    <row r="7" ht="33.75" customHeight="1">
      <c r="A7" s="5" t="s">
        <v>60</v>
      </c>
      <c r="B7" s="5" t="s">
        <v>61</v>
      </c>
      <c r="C7" s="5" t="s">
        <v>62</v>
      </c>
      <c r="D7" s="6" t="s">
        <v>63</v>
      </c>
      <c r="E7" s="6" t="s">
        <v>64</v>
      </c>
      <c r="F7" s="6" t="s">
        <v>42</v>
      </c>
      <c r="G7" s="5" t="b">
        <v>1</v>
      </c>
      <c r="H7" s="5" t="b">
        <v>0</v>
      </c>
      <c r="I7" s="7">
        <v>45148.0</v>
      </c>
      <c r="J7" s="7">
        <v>46243.0</v>
      </c>
      <c r="K7" s="7">
        <v>46262.0</v>
      </c>
      <c r="L7" s="5">
        <v>1.0</v>
      </c>
      <c r="M7" s="5" t="s">
        <v>28</v>
      </c>
      <c r="N7" s="5" t="s">
        <v>65</v>
      </c>
      <c r="O7" s="5" t="s">
        <v>66</v>
      </c>
      <c r="P7" s="6" t="s">
        <v>30</v>
      </c>
      <c r="Q7" s="7">
        <v>46275.0</v>
      </c>
      <c r="R7" s="5" t="b">
        <v>1</v>
      </c>
      <c r="S7" s="7">
        <v>46243.0</v>
      </c>
      <c r="T7" s="6" t="s">
        <v>67</v>
      </c>
      <c r="U7" s="7">
        <v>46277.0</v>
      </c>
      <c r="V7" s="6" t="s">
        <v>68</v>
      </c>
    </row>
    <row r="8" ht="33.75" customHeight="1">
      <c r="A8" s="2" t="s">
        <v>69</v>
      </c>
      <c r="B8" s="2" t="s">
        <v>61</v>
      </c>
      <c r="C8" s="2" t="s">
        <v>62</v>
      </c>
      <c r="D8" s="3" t="s">
        <v>63</v>
      </c>
      <c r="E8" s="3" t="s">
        <v>70</v>
      </c>
      <c r="F8" s="3" t="s">
        <v>42</v>
      </c>
      <c r="G8" s="2" t="b">
        <v>1</v>
      </c>
      <c r="H8" s="2" t="b">
        <v>0</v>
      </c>
      <c r="I8" s="4">
        <v>46290.0</v>
      </c>
      <c r="J8" s="4">
        <v>47385.0</v>
      </c>
      <c r="K8" s="4">
        <v>46297.0</v>
      </c>
      <c r="L8" s="2">
        <v>2.0</v>
      </c>
      <c r="M8" s="2" t="s">
        <v>60</v>
      </c>
      <c r="N8" s="2" t="s">
        <v>35</v>
      </c>
      <c r="O8" s="2" t="s">
        <v>36</v>
      </c>
      <c r="P8" s="3" t="s">
        <v>71</v>
      </c>
      <c r="Q8" s="4">
        <v>46307.0</v>
      </c>
      <c r="R8" s="2" t="b">
        <v>0</v>
      </c>
      <c r="S8" s="4">
        <v>47385.0</v>
      </c>
      <c r="T8" s="3" t="s">
        <v>72</v>
      </c>
      <c r="U8" s="4">
        <v>46307.0</v>
      </c>
      <c r="V8" s="3" t="s">
        <v>73</v>
      </c>
    </row>
    <row r="9" ht="33.75" customHeight="1">
      <c r="A9" s="5" t="s">
        <v>74</v>
      </c>
      <c r="B9" s="5" t="s">
        <v>75</v>
      </c>
      <c r="C9" s="5" t="s">
        <v>76</v>
      </c>
      <c r="D9" s="6" t="s">
        <v>77</v>
      </c>
      <c r="E9" s="6" t="s">
        <v>78</v>
      </c>
      <c r="F9" s="6" t="s">
        <v>79</v>
      </c>
      <c r="G9" s="5" t="b">
        <v>1</v>
      </c>
      <c r="H9" s="5" t="b">
        <v>0</v>
      </c>
      <c r="I9" s="7">
        <v>45250.0</v>
      </c>
      <c r="J9" s="7">
        <v>46345.0</v>
      </c>
      <c r="K9" s="7">
        <v>46305.0</v>
      </c>
      <c r="L9" s="5">
        <v>1.0</v>
      </c>
      <c r="M9" s="5" t="s">
        <v>28</v>
      </c>
      <c r="N9" s="5" t="s">
        <v>80</v>
      </c>
      <c r="O9" s="5" t="s">
        <v>36</v>
      </c>
      <c r="P9" s="6" t="s">
        <v>30</v>
      </c>
      <c r="Q9" s="7">
        <v>46310.0</v>
      </c>
      <c r="R9" s="5" t="b">
        <v>1</v>
      </c>
      <c r="S9" s="7">
        <v>46345.0</v>
      </c>
      <c r="T9" s="6" t="s">
        <v>81</v>
      </c>
      <c r="U9" s="7">
        <v>46310.0</v>
      </c>
      <c r="V9" s="6" t="s">
        <v>82</v>
      </c>
    </row>
    <row r="10" ht="33.75" customHeight="1">
      <c r="A10" s="2" t="s">
        <v>83</v>
      </c>
      <c r="B10" s="2" t="s">
        <v>84</v>
      </c>
      <c r="C10" s="2" t="s">
        <v>85</v>
      </c>
      <c r="D10" s="3" t="s">
        <v>86</v>
      </c>
      <c r="E10" s="3" t="s">
        <v>87</v>
      </c>
      <c r="F10" s="3" t="s">
        <v>88</v>
      </c>
      <c r="G10" s="2" t="b">
        <v>0</v>
      </c>
      <c r="H10" s="2" t="b">
        <v>1</v>
      </c>
      <c r="I10" s="4">
        <v>46280.0</v>
      </c>
      <c r="J10" s="4">
        <v>46644.0</v>
      </c>
      <c r="K10" s="4">
        <v>46296.0</v>
      </c>
      <c r="L10" s="2">
        <v>1.0</v>
      </c>
      <c r="M10" s="2" t="s">
        <v>28</v>
      </c>
      <c r="N10" s="2" t="s">
        <v>35</v>
      </c>
      <c r="O10" s="2" t="s">
        <v>36</v>
      </c>
      <c r="P10" s="3" t="s">
        <v>89</v>
      </c>
      <c r="Q10" s="4">
        <v>46317.0</v>
      </c>
      <c r="R10" s="2" t="b">
        <v>0</v>
      </c>
      <c r="S10" s="4">
        <v>46644.0</v>
      </c>
      <c r="T10" s="3" t="s">
        <v>90</v>
      </c>
      <c r="U10" s="4">
        <v>46317.0</v>
      </c>
      <c r="V10" s="3" t="s">
        <v>91</v>
      </c>
    </row>
    <row r="11" ht="33.75" customHeight="1">
      <c r="A11" s="5" t="s">
        <v>92</v>
      </c>
      <c r="B11" s="5" t="s">
        <v>93</v>
      </c>
      <c r="C11" s="5" t="s">
        <v>94</v>
      </c>
      <c r="D11" s="6" t="s">
        <v>95</v>
      </c>
      <c r="E11" s="6" t="s">
        <v>96</v>
      </c>
      <c r="F11" s="6" t="s">
        <v>97</v>
      </c>
      <c r="G11" s="5" t="b">
        <v>1</v>
      </c>
      <c r="H11" s="5" t="b">
        <v>0</v>
      </c>
      <c r="I11" s="7">
        <v>44530.0</v>
      </c>
      <c r="J11" s="7">
        <v>46355.0</v>
      </c>
      <c r="K11" s="7">
        <v>46290.0</v>
      </c>
      <c r="L11" s="5">
        <v>1.0</v>
      </c>
      <c r="M11" s="5" t="s">
        <v>28</v>
      </c>
      <c r="N11" s="5" t="s">
        <v>80</v>
      </c>
      <c r="O11" s="5" t="s">
        <v>36</v>
      </c>
      <c r="P11" s="6" t="s">
        <v>98</v>
      </c>
      <c r="Q11" s="7">
        <v>46315.0</v>
      </c>
      <c r="R11" s="5" t="b">
        <v>1</v>
      </c>
      <c r="S11" s="7">
        <v>46355.0</v>
      </c>
      <c r="T11" s="6" t="s">
        <v>99</v>
      </c>
      <c r="U11" s="7">
        <v>46315.0</v>
      </c>
      <c r="V11" s="6" t="s">
        <v>100</v>
      </c>
    </row>
    <row r="12" ht="33.75" customHeight="1">
      <c r="A12" s="2" t="s">
        <v>101</v>
      </c>
      <c r="B12" s="2" t="s">
        <v>102</v>
      </c>
      <c r="C12" s="2" t="s">
        <v>103</v>
      </c>
      <c r="D12" s="3" t="s">
        <v>104</v>
      </c>
      <c r="E12" s="3" t="s">
        <v>105</v>
      </c>
      <c r="F12" s="3" t="s">
        <v>106</v>
      </c>
      <c r="G12" s="2" t="b">
        <v>1</v>
      </c>
      <c r="H12" s="2" t="b">
        <v>0</v>
      </c>
      <c r="I12" s="4">
        <v>42536.0</v>
      </c>
      <c r="J12" s="4">
        <v>46187.0</v>
      </c>
      <c r="K12" s="4">
        <v>46254.0</v>
      </c>
      <c r="L12" s="2">
        <v>1.0</v>
      </c>
      <c r="M12" s="2" t="s">
        <v>28</v>
      </c>
      <c r="N12" s="2" t="s">
        <v>50</v>
      </c>
      <c r="O12" s="2" t="s">
        <v>51</v>
      </c>
      <c r="P12" s="3" t="s">
        <v>89</v>
      </c>
      <c r="Q12" s="4">
        <v>46300.0</v>
      </c>
      <c r="R12" s="2" t="b">
        <v>1</v>
      </c>
      <c r="S12" s="4">
        <v>46187.0</v>
      </c>
      <c r="T12" s="3" t="s">
        <v>107</v>
      </c>
      <c r="U12" s="4">
        <v>46300.0</v>
      </c>
      <c r="V12" s="3" t="s">
        <v>108</v>
      </c>
    </row>
    <row r="13" ht="33.75" customHeight="1">
      <c r="A13" s="5" t="s">
        <v>109</v>
      </c>
      <c r="B13" s="5" t="s">
        <v>110</v>
      </c>
      <c r="C13" s="5" t="s">
        <v>111</v>
      </c>
      <c r="D13" s="6" t="s">
        <v>112</v>
      </c>
      <c r="E13" s="6" t="s">
        <v>113</v>
      </c>
      <c r="F13" s="6" t="s">
        <v>88</v>
      </c>
      <c r="G13" s="5" t="b">
        <v>0</v>
      </c>
      <c r="H13" s="5" t="b">
        <v>1</v>
      </c>
      <c r="I13" s="7">
        <v>46266.0</v>
      </c>
      <c r="J13" s="7">
        <v>47361.0</v>
      </c>
      <c r="K13" s="7">
        <v>46318.0</v>
      </c>
      <c r="L13" s="5">
        <v>1.0</v>
      </c>
      <c r="M13" s="5" t="s">
        <v>28</v>
      </c>
      <c r="N13" s="5" t="s">
        <v>114</v>
      </c>
      <c r="O13" s="5" t="s">
        <v>57</v>
      </c>
      <c r="P13" s="6" t="s">
        <v>115</v>
      </c>
      <c r="Q13" s="7" t="s">
        <v>28</v>
      </c>
      <c r="R13" s="5" t="b">
        <v>0</v>
      </c>
      <c r="S13" s="7">
        <v>47361.0</v>
      </c>
      <c r="T13" s="6" t="s">
        <v>116</v>
      </c>
      <c r="U13" s="7">
        <v>46318.0</v>
      </c>
      <c r="V13" s="6" t="s">
        <v>117</v>
      </c>
    </row>
    <row r="14" ht="33.75" customHeight="1">
      <c r="A14" s="2" t="s">
        <v>118</v>
      </c>
      <c r="B14" s="2" t="s">
        <v>119</v>
      </c>
      <c r="C14" s="2" t="s">
        <v>120</v>
      </c>
      <c r="D14" s="3" t="s">
        <v>121</v>
      </c>
      <c r="E14" s="3" t="s">
        <v>122</v>
      </c>
      <c r="F14" s="3" t="s">
        <v>123</v>
      </c>
      <c r="G14" s="2" t="b">
        <v>1</v>
      </c>
      <c r="H14" s="2" t="b">
        <v>0</v>
      </c>
      <c r="I14" s="4">
        <v>41017.0</v>
      </c>
      <c r="J14" s="4" t="s">
        <v>28</v>
      </c>
      <c r="K14" s="4">
        <v>46249.0</v>
      </c>
      <c r="L14" s="2">
        <v>1.0</v>
      </c>
      <c r="M14" s="2" t="s">
        <v>28</v>
      </c>
      <c r="N14" s="2" t="s">
        <v>35</v>
      </c>
      <c r="O14" s="2" t="s">
        <v>36</v>
      </c>
      <c r="P14" s="3" t="s">
        <v>98</v>
      </c>
      <c r="Q14" s="4">
        <v>46295.0</v>
      </c>
      <c r="R14" s="2" t="b">
        <v>0</v>
      </c>
      <c r="S14" s="4" t="s">
        <v>28</v>
      </c>
      <c r="T14" s="3" t="s">
        <v>124</v>
      </c>
      <c r="U14" s="4">
        <v>46295.0</v>
      </c>
      <c r="V14" s="3" t="s">
        <v>125</v>
      </c>
    </row>
    <row r="15" ht="33.75" customHeight="1">
      <c r="A15" s="5" t="s">
        <v>126</v>
      </c>
      <c r="B15" s="5" t="s">
        <v>127</v>
      </c>
      <c r="C15" s="5" t="s">
        <v>128</v>
      </c>
      <c r="D15" s="6" t="s">
        <v>129</v>
      </c>
      <c r="E15" s="6" t="s">
        <v>130</v>
      </c>
      <c r="F15" s="6" t="s">
        <v>131</v>
      </c>
      <c r="G15" s="5" t="b">
        <v>1</v>
      </c>
      <c r="H15" s="5" t="b">
        <v>0</v>
      </c>
      <c r="I15" s="7">
        <v>46204.0</v>
      </c>
      <c r="J15" s="7">
        <v>46568.0</v>
      </c>
      <c r="K15" s="7">
        <v>46259.0</v>
      </c>
      <c r="L15" s="5">
        <v>1.0</v>
      </c>
      <c r="M15" s="5" t="s">
        <v>28</v>
      </c>
      <c r="N15" s="5" t="s">
        <v>35</v>
      </c>
      <c r="O15" s="5" t="s">
        <v>36</v>
      </c>
      <c r="P15" s="6" t="s">
        <v>98</v>
      </c>
      <c r="Q15" s="7">
        <v>46314.0</v>
      </c>
      <c r="R15" s="5" t="b">
        <v>1</v>
      </c>
      <c r="S15" s="7">
        <v>46568.0</v>
      </c>
      <c r="T15" s="6" t="s">
        <v>132</v>
      </c>
      <c r="U15" s="7">
        <v>46314.0</v>
      </c>
      <c r="V15" s="6" t="s">
        <v>133</v>
      </c>
    </row>
  </sheetData>
  <autoFilter ref="$A$1:$V$15"/>
  <dataValidations>
    <dataValidation type="list" allowBlank="1" sqref="N2:N15">
      <formula1>"VALID,EXPIRING_SOON,EXPIRED,UNDER_REVIEW,SUBMITTED,REJECTED,SUPERSEDED"</formula1>
    </dataValidation>
    <dataValidation type="list" allowBlank="1" sqref="G2:H15 R2:R15">
      <formula1>"TRUE,FALSE"</formula1>
    </dataValidation>
    <dataValidation type="list" allowBlank="1" sqref="O2:O15">
      <formula1>"VERIFIED,PENDING_VERIFICATION,DEFICIENCY_FLAGGED,REJECTED_FOR_CORRECTION,SUPERSEDED"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B5C92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13"/>
    <col customWidth="1" min="2" max="2" width="16.38"/>
    <col customWidth="1" min="3" max="3" width="40.5"/>
    <col customWidth="1" min="4" max="4" width="40.0"/>
    <col customWidth="1" min="5" max="5" width="31.5"/>
  </cols>
  <sheetData>
    <row r="1" ht="27.0" customHeight="1">
      <c r="A1" s="1" t="s">
        <v>134</v>
      </c>
      <c r="B1" s="1" t="s">
        <v>135</v>
      </c>
      <c r="C1" s="1" t="s">
        <v>136</v>
      </c>
      <c r="D1" s="1" t="s">
        <v>137</v>
      </c>
      <c r="E1" s="1" t="s">
        <v>138</v>
      </c>
    </row>
    <row r="2" ht="33.0" customHeight="1">
      <c r="A2" s="8" t="s">
        <v>0</v>
      </c>
      <c r="B2" s="2" t="s">
        <v>139</v>
      </c>
      <c r="C2" s="3" t="s">
        <v>140</v>
      </c>
      <c r="D2" s="3" t="s">
        <v>141</v>
      </c>
      <c r="E2" s="3" t="s">
        <v>22</v>
      </c>
    </row>
    <row r="3" ht="33.0" customHeight="1">
      <c r="A3" s="9" t="s">
        <v>1</v>
      </c>
      <c r="B3" s="5" t="s">
        <v>139</v>
      </c>
      <c r="C3" s="6" t="s">
        <v>142</v>
      </c>
      <c r="D3" s="6" t="s">
        <v>143</v>
      </c>
      <c r="E3" s="6" t="s">
        <v>23</v>
      </c>
    </row>
    <row r="4" ht="33.0" customHeight="1">
      <c r="A4" s="8" t="s">
        <v>2</v>
      </c>
      <c r="B4" s="2" t="s">
        <v>139</v>
      </c>
      <c r="C4" s="3" t="s">
        <v>144</v>
      </c>
      <c r="D4" s="3" t="s">
        <v>145</v>
      </c>
      <c r="E4" s="3" t="s">
        <v>24</v>
      </c>
    </row>
    <row r="5" ht="33.0" customHeight="1">
      <c r="A5" s="9" t="s">
        <v>3</v>
      </c>
      <c r="B5" s="5" t="s">
        <v>146</v>
      </c>
      <c r="C5" s="6" t="s">
        <v>147</v>
      </c>
      <c r="D5" s="6" t="s">
        <v>148</v>
      </c>
      <c r="E5" s="6" t="s">
        <v>25</v>
      </c>
    </row>
    <row r="6" ht="33.0" customHeight="1">
      <c r="A6" s="8" t="s">
        <v>4</v>
      </c>
      <c r="B6" s="2" t="s">
        <v>146</v>
      </c>
      <c r="C6" s="3" t="s">
        <v>149</v>
      </c>
      <c r="D6" s="3" t="s">
        <v>150</v>
      </c>
      <c r="E6" s="3" t="s">
        <v>26</v>
      </c>
    </row>
    <row r="7" ht="33.0" customHeight="1">
      <c r="A7" s="9" t="s">
        <v>5</v>
      </c>
      <c r="B7" s="5" t="s">
        <v>146</v>
      </c>
      <c r="C7" s="6" t="s">
        <v>151</v>
      </c>
      <c r="D7" s="6" t="s">
        <v>152</v>
      </c>
      <c r="E7" s="6" t="s">
        <v>27</v>
      </c>
    </row>
    <row r="8" ht="33.0" customHeight="1">
      <c r="A8" s="8" t="s">
        <v>6</v>
      </c>
      <c r="B8" s="2" t="s">
        <v>153</v>
      </c>
      <c r="C8" s="3" t="s">
        <v>154</v>
      </c>
      <c r="D8" s="3" t="s">
        <v>155</v>
      </c>
      <c r="E8" s="3" t="b">
        <v>1</v>
      </c>
    </row>
    <row r="9" ht="33.0" customHeight="1">
      <c r="A9" s="9" t="s">
        <v>7</v>
      </c>
      <c r="B9" s="5" t="s">
        <v>153</v>
      </c>
      <c r="C9" s="6" t="s">
        <v>156</v>
      </c>
      <c r="D9" s="6" t="s">
        <v>157</v>
      </c>
      <c r="E9" s="6" t="b">
        <v>0</v>
      </c>
    </row>
    <row r="10" ht="33.0" customHeight="1">
      <c r="A10" s="8" t="s">
        <v>8</v>
      </c>
      <c r="B10" s="2" t="s">
        <v>158</v>
      </c>
      <c r="C10" s="3" t="s">
        <v>159</v>
      </c>
      <c r="D10" s="3" t="s">
        <v>160</v>
      </c>
      <c r="E10" s="10">
        <v>46244.0</v>
      </c>
    </row>
    <row r="11" ht="33.0" customHeight="1">
      <c r="A11" s="9" t="s">
        <v>9</v>
      </c>
      <c r="B11" s="5" t="s">
        <v>161</v>
      </c>
      <c r="C11" s="6" t="s">
        <v>162</v>
      </c>
      <c r="D11" s="6" t="s">
        <v>163</v>
      </c>
      <c r="E11" s="11">
        <v>57201.0</v>
      </c>
    </row>
    <row r="12" ht="33.0" customHeight="1">
      <c r="A12" s="8" t="s">
        <v>10</v>
      </c>
      <c r="B12" s="2" t="s">
        <v>158</v>
      </c>
      <c r="C12" s="3" t="s">
        <v>164</v>
      </c>
      <c r="D12" s="3" t="s">
        <v>165</v>
      </c>
      <c r="E12" s="10">
        <v>46303.0</v>
      </c>
    </row>
    <row r="13" ht="33.0" customHeight="1">
      <c r="A13" s="9" t="s">
        <v>11</v>
      </c>
      <c r="B13" s="5" t="s">
        <v>166</v>
      </c>
      <c r="C13" s="6" t="s">
        <v>167</v>
      </c>
      <c r="D13" s="6" t="s">
        <v>168</v>
      </c>
      <c r="E13" s="6">
        <v>2.0</v>
      </c>
    </row>
    <row r="14" ht="33.0" customHeight="1">
      <c r="A14" s="8" t="s">
        <v>12</v>
      </c>
      <c r="B14" s="2" t="s">
        <v>139</v>
      </c>
      <c r="C14" s="3" t="s">
        <v>169</v>
      </c>
      <c r="D14" s="3" t="s">
        <v>170</v>
      </c>
      <c r="E14" s="3" t="s">
        <v>22</v>
      </c>
    </row>
    <row r="15" ht="33.0" customHeight="1">
      <c r="A15" s="9" t="s">
        <v>13</v>
      </c>
      <c r="B15" s="5" t="s">
        <v>171</v>
      </c>
      <c r="C15" s="6" t="s">
        <v>172</v>
      </c>
      <c r="D15" s="6" t="s">
        <v>173</v>
      </c>
      <c r="E15" s="6" t="s">
        <v>35</v>
      </c>
    </row>
    <row r="16" ht="33.0" customHeight="1">
      <c r="A16" s="8" t="s">
        <v>14</v>
      </c>
      <c r="B16" s="2" t="s">
        <v>171</v>
      </c>
      <c r="C16" s="3" t="s">
        <v>174</v>
      </c>
      <c r="D16" s="3" t="s">
        <v>175</v>
      </c>
      <c r="E16" s="3" t="s">
        <v>36</v>
      </c>
    </row>
    <row r="17" ht="33.0" customHeight="1">
      <c r="A17" s="9" t="s">
        <v>15</v>
      </c>
      <c r="B17" s="5" t="s">
        <v>171</v>
      </c>
      <c r="C17" s="6" t="s">
        <v>176</v>
      </c>
      <c r="D17" s="6" t="s">
        <v>177</v>
      </c>
      <c r="E17" s="6" t="s">
        <v>30</v>
      </c>
    </row>
    <row r="18" ht="33.0" customHeight="1">
      <c r="A18" s="8" t="s">
        <v>16</v>
      </c>
      <c r="B18" s="2" t="s">
        <v>161</v>
      </c>
      <c r="C18" s="3" t="s">
        <v>178</v>
      </c>
      <c r="D18" s="3" t="s">
        <v>179</v>
      </c>
      <c r="E18" s="10">
        <v>46307.0</v>
      </c>
    </row>
    <row r="19" ht="33.0" customHeight="1">
      <c r="A19" s="9" t="s">
        <v>17</v>
      </c>
      <c r="B19" s="5" t="s">
        <v>153</v>
      </c>
      <c r="C19" s="6" t="s">
        <v>180</v>
      </c>
      <c r="D19" s="6" t="s">
        <v>181</v>
      </c>
      <c r="E19" s="6" t="b">
        <v>0</v>
      </c>
    </row>
    <row r="20" ht="33.0" customHeight="1">
      <c r="A20" s="8" t="s">
        <v>18</v>
      </c>
      <c r="B20" s="2" t="s">
        <v>161</v>
      </c>
      <c r="C20" s="3" t="s">
        <v>182</v>
      </c>
      <c r="D20" s="3" t="s">
        <v>183</v>
      </c>
      <c r="E20" s="10">
        <v>57201.0</v>
      </c>
    </row>
    <row r="21" ht="33.0" customHeight="1">
      <c r="A21" s="9" t="s">
        <v>19</v>
      </c>
      <c r="B21" s="5" t="s">
        <v>184</v>
      </c>
      <c r="C21" s="6" t="s">
        <v>185</v>
      </c>
      <c r="D21" s="6" t="s">
        <v>186</v>
      </c>
      <c r="E21" s="6" t="s">
        <v>37</v>
      </c>
    </row>
    <row r="22" ht="33.0" customHeight="1">
      <c r="A22" s="8" t="s">
        <v>20</v>
      </c>
      <c r="B22" s="2" t="s">
        <v>158</v>
      </c>
      <c r="C22" s="3" t="s">
        <v>187</v>
      </c>
      <c r="D22" s="3" t="s">
        <v>188</v>
      </c>
      <c r="E22" s="10">
        <v>46309.0</v>
      </c>
    </row>
    <row r="23" ht="33.0" customHeight="1">
      <c r="A23" s="9" t="s">
        <v>21</v>
      </c>
      <c r="B23" s="5" t="s">
        <v>146</v>
      </c>
      <c r="C23" s="6" t="s">
        <v>189</v>
      </c>
      <c r="D23" s="6" t="s">
        <v>190</v>
      </c>
      <c r="E23" s="6" t="s">
        <v>38</v>
      </c>
    </row>
  </sheetData>
  <autoFilter ref="$A$1:$E$2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7738B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38"/>
    <col customWidth="1" min="2" max="2" width="36.13"/>
    <col customWidth="1" min="3" max="3" width="65.38"/>
  </cols>
  <sheetData>
    <row r="1" ht="27.0" customHeight="1">
      <c r="A1" s="12" t="s">
        <v>191</v>
      </c>
      <c r="B1" s="12" t="s">
        <v>192</v>
      </c>
      <c r="C1" s="12" t="s">
        <v>193</v>
      </c>
    </row>
    <row r="2" ht="33.0" customHeight="1">
      <c r="A2" s="13" t="s">
        <v>194</v>
      </c>
      <c r="B2" s="14" t="s">
        <v>195</v>
      </c>
      <c r="C2" s="14" t="s">
        <v>196</v>
      </c>
    </row>
    <row r="3" ht="33.0" customHeight="1">
      <c r="A3" s="13" t="s">
        <v>197</v>
      </c>
      <c r="B3" s="14" t="s">
        <v>198</v>
      </c>
      <c r="C3" s="14" t="s">
        <v>199</v>
      </c>
    </row>
    <row r="4" ht="33.0" customHeight="1">
      <c r="A4" s="13" t="s">
        <v>200</v>
      </c>
      <c r="B4" s="15">
        <v>46320.0</v>
      </c>
      <c r="C4" s="14" t="s">
        <v>201</v>
      </c>
    </row>
    <row r="5" ht="33.0" customHeight="1">
      <c r="A5" s="13" t="s">
        <v>202</v>
      </c>
      <c r="B5" s="14" t="s">
        <v>203</v>
      </c>
      <c r="C5" s="14" t="s">
        <v>204</v>
      </c>
    </row>
    <row r="6" ht="33.0" customHeight="1">
      <c r="A6" s="13" t="s">
        <v>205</v>
      </c>
      <c r="B6" s="14" t="s">
        <v>206</v>
      </c>
      <c r="C6" s="14" t="s">
        <v>207</v>
      </c>
    </row>
    <row r="7" ht="33.0" customHeight="1">
      <c r="A7" s="13" t="s">
        <v>208</v>
      </c>
      <c r="B7" s="14" t="s">
        <v>209</v>
      </c>
      <c r="C7" s="14" t="s">
        <v>210</v>
      </c>
    </row>
    <row r="8" ht="33.0" customHeight="1">
      <c r="A8" s="13" t="s">
        <v>211</v>
      </c>
      <c r="B8" s="14" t="s">
        <v>212</v>
      </c>
      <c r="C8" s="14" t="s">
        <v>213</v>
      </c>
    </row>
    <row r="9" ht="33.0" customHeight="1">
      <c r="A9" s="13" t="s">
        <v>214</v>
      </c>
      <c r="B9" s="14" t="s">
        <v>215</v>
      </c>
      <c r="C9" s="14" t="s">
        <v>216</v>
      </c>
    </row>
    <row r="10" ht="33.0" customHeight="1">
      <c r="A10" s="13" t="s">
        <v>217</v>
      </c>
      <c r="B10" s="14" t="s">
        <v>218</v>
      </c>
      <c r="C10" s="14" t="s">
        <v>219</v>
      </c>
    </row>
    <row r="11" ht="33.0" customHeight="1">
      <c r="A11" s="13" t="s">
        <v>220</v>
      </c>
      <c r="B11" s="14" t="s">
        <v>221</v>
      </c>
      <c r="C11" s="14" t="s">
        <v>222</v>
      </c>
    </row>
    <row r="12" ht="33.0" customHeight="1">
      <c r="A12" s="13" t="s">
        <v>223</v>
      </c>
      <c r="B12" s="14" t="s">
        <v>224</v>
      </c>
      <c r="C12" s="14" t="s">
        <v>225</v>
      </c>
    </row>
    <row r="13" ht="33.0" customHeight="1">
      <c r="A13" s="13" t="s">
        <v>226</v>
      </c>
      <c r="B13" s="14" t="s">
        <v>227</v>
      </c>
      <c r="C13" s="14" t="s">
        <v>228</v>
      </c>
    </row>
    <row r="14" ht="33.0" customHeight="1">
      <c r="A14" s="13" t="s">
        <v>229</v>
      </c>
      <c r="B14" s="14" t="s">
        <v>230</v>
      </c>
      <c r="C14" s="14" t="s">
        <v>231</v>
      </c>
    </row>
    <row r="15" ht="33.0" customHeight="1">
      <c r="A15" s="13" t="s">
        <v>232</v>
      </c>
      <c r="B15" s="14" t="s">
        <v>233</v>
      </c>
      <c r="C15" s="14" t="s">
        <v>234</v>
      </c>
    </row>
    <row r="16" ht="33.0" customHeight="1">
      <c r="A16" s="13" t="s">
        <v>235</v>
      </c>
      <c r="B16" s="14" t="s">
        <v>236</v>
      </c>
      <c r="C16" s="14" t="s">
        <v>237</v>
      </c>
    </row>
    <row r="17" ht="33.0" customHeight="1">
      <c r="A17" s="13" t="s">
        <v>238</v>
      </c>
      <c r="B17" s="14" t="s">
        <v>239</v>
      </c>
      <c r="C17" s="14" t="s">
        <v>240</v>
      </c>
    </row>
    <row r="18" ht="33.0" customHeight="1">
      <c r="A18" s="13" t="s">
        <v>241</v>
      </c>
      <c r="B18" s="14" t="s">
        <v>242</v>
      </c>
      <c r="C18" s="14" t="s">
        <v>243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40.13"/>
    <col customWidth="1" min="3" max="3" width="16.38"/>
    <col customWidth="1" min="4" max="4" width="13.88"/>
    <col customWidth="1" min="5" max="5" width="30.13"/>
    <col customWidth="1" min="6" max="6" width="35.13"/>
    <col customWidth="1" min="7" max="7" width="45.13"/>
  </cols>
  <sheetData>
    <row r="1">
      <c r="A1" s="16" t="s">
        <v>244</v>
      </c>
    </row>
    <row r="2">
      <c r="A2" s="17" t="s">
        <v>245</v>
      </c>
    </row>
    <row r="4">
      <c r="A4" s="18" t="s">
        <v>246</v>
      </c>
      <c r="B4" s="19"/>
      <c r="C4" s="18" t="s">
        <v>247</v>
      </c>
      <c r="D4" s="19"/>
      <c r="E4" s="18" t="s">
        <v>248</v>
      </c>
      <c r="F4" s="19"/>
      <c r="G4" s="20" t="s">
        <v>249</v>
      </c>
    </row>
    <row r="5">
      <c r="A5" s="21">
        <f>COUNTA(Documents!A2:A15)</f>
        <v>14</v>
      </c>
      <c r="B5" s="22"/>
      <c r="C5" s="21">
        <f>COUNTIF(Documents!G2:G15, TRUE)</f>
        <v>12</v>
      </c>
      <c r="D5" s="22"/>
      <c r="E5" s="21">
        <f>COUNTIF(Documents!N2:N15, "EXPIRING_SOON") + COUNTIF(Documents!N2:N15, "EXPIRED")</f>
        <v>4</v>
      </c>
      <c r="F5" s="22"/>
      <c r="G5" s="23">
        <f>COUNTIF(C9:C15, "PASSED")/COUNTA(C9:C15)</f>
        <v>1</v>
      </c>
    </row>
    <row r="6">
      <c r="A6" s="24" t="s">
        <v>250</v>
      </c>
      <c r="B6" s="25"/>
      <c r="C6" s="24" t="s">
        <v>251</v>
      </c>
      <c r="D6" s="25"/>
      <c r="E6" s="24" t="s">
        <v>252</v>
      </c>
      <c r="F6" s="25"/>
      <c r="G6" s="26" t="s">
        <v>253</v>
      </c>
    </row>
    <row r="7">
      <c r="A7" s="27" t="s">
        <v>254</v>
      </c>
    </row>
    <row r="8">
      <c r="A8" s="28" t="s">
        <v>255</v>
      </c>
      <c r="B8" s="29" t="s">
        <v>256</v>
      </c>
      <c r="C8" s="29" t="s">
        <v>257</v>
      </c>
      <c r="D8" s="29" t="s">
        <v>258</v>
      </c>
      <c r="E8" s="29" t="s">
        <v>259</v>
      </c>
      <c r="F8" s="29" t="s">
        <v>260</v>
      </c>
      <c r="G8" s="30" t="s">
        <v>261</v>
      </c>
    </row>
    <row r="9">
      <c r="A9" s="31" t="s">
        <v>262</v>
      </c>
      <c r="B9" s="32" t="s">
        <v>263</v>
      </c>
      <c r="C9" s="33" t="str">
        <f t="shared" ref="C9:C15" si="1">IF(D9=0, "PASSED", "FAILED")</f>
        <v>PASSED</v>
      </c>
      <c r="D9" s="34">
        <f>IFERROR(__xludf.DUMMYFUNCTION("COUNTA(Documents!A2:A15)-COUNTUNIQUE(Documents!A2:A15)"),0.0)</f>
        <v>0</v>
      </c>
      <c r="E9" s="32" t="s">
        <v>264</v>
      </c>
      <c r="F9" s="32" t="s">
        <v>265</v>
      </c>
      <c r="G9" s="35" t="s">
        <v>266</v>
      </c>
    </row>
    <row r="10">
      <c r="A10" s="36" t="s">
        <v>267</v>
      </c>
      <c r="B10" s="37" t="s">
        <v>268</v>
      </c>
      <c r="C10" s="33" t="str">
        <f t="shared" si="1"/>
        <v>PASSED</v>
      </c>
      <c r="D10" s="38">
        <f>SUMPRODUCT((Documents!M2:M15&lt;&gt;"-")*(ISNA(MATCH(Documents!M2:M15, Documents!A2:A15, 0))))</f>
        <v>0</v>
      </c>
      <c r="E10" s="37" t="s">
        <v>269</v>
      </c>
      <c r="F10" s="37" t="s">
        <v>270</v>
      </c>
      <c r="G10" s="39" t="s">
        <v>271</v>
      </c>
    </row>
    <row r="11">
      <c r="A11" s="31" t="s">
        <v>272</v>
      </c>
      <c r="B11" s="32" t="s">
        <v>273</v>
      </c>
      <c r="C11" s="33" t="str">
        <f t="shared" si="1"/>
        <v>PASSED</v>
      </c>
      <c r="D11" s="34">
        <f>SUMPRODUCT((Documents!I2:I15&gt;Documents!K2:K15)*(Documents!I2:I15&lt;&gt;""))</f>
        <v>0</v>
      </c>
      <c r="E11" s="32" t="s">
        <v>274</v>
      </c>
      <c r="F11" s="32" t="s">
        <v>275</v>
      </c>
      <c r="G11" s="35" t="s">
        <v>276</v>
      </c>
    </row>
    <row r="12">
      <c r="A12" s="36" t="s">
        <v>277</v>
      </c>
      <c r="B12" s="37" t="s">
        <v>278</v>
      </c>
      <c r="C12" s="33" t="str">
        <f t="shared" si="1"/>
        <v>PASSED</v>
      </c>
      <c r="D12" s="38">
        <f>SUMPRODUCT((Documents!J2:J15&lt;&gt;"-")*(Documents!I2:I15&gt;=Documents!J2:J15))</f>
        <v>0</v>
      </c>
      <c r="E12" s="37" t="s">
        <v>279</v>
      </c>
      <c r="F12" s="37" t="s">
        <v>280</v>
      </c>
      <c r="G12" s="39" t="s">
        <v>281</v>
      </c>
    </row>
    <row r="13">
      <c r="A13" s="31" t="s">
        <v>282</v>
      </c>
      <c r="B13" s="32" t="s">
        <v>283</v>
      </c>
      <c r="C13" s="33" t="str">
        <f t="shared" si="1"/>
        <v>PASSED</v>
      </c>
      <c r="D13" s="34">
        <f>SUMPRODUCT((Documents!N2:N15="SUPERSEDED")*(Documents!O2:O15&lt;&gt;"SUPERSEDED")) + SUMPRODUCT((Documents!N2:N15="VALID")*(Documents!O2:O15="REJECTED_FOR_CORRECTION"))</f>
        <v>0</v>
      </c>
      <c r="E13" s="32" t="s">
        <v>284</v>
      </c>
      <c r="F13" s="32" t="s">
        <v>285</v>
      </c>
      <c r="G13" s="35" t="s">
        <v>286</v>
      </c>
    </row>
    <row r="14">
      <c r="A14" s="36" t="s">
        <v>287</v>
      </c>
      <c r="B14" s="37" t="s">
        <v>288</v>
      </c>
      <c r="C14" s="33" t="str">
        <f t="shared" si="1"/>
        <v>PASSED</v>
      </c>
      <c r="D14" s="38">
        <f>SUMPRODUCT((LEN(Documents!B2:B15)=0)+(LEN(Documents!C2:C15)=0))</f>
        <v>0</v>
      </c>
      <c r="E14" s="37" t="s">
        <v>289</v>
      </c>
      <c r="F14" s="37" t="s">
        <v>290</v>
      </c>
      <c r="G14" s="39" t="s">
        <v>291</v>
      </c>
    </row>
    <row r="15">
      <c r="A15" s="31" t="s">
        <v>292</v>
      </c>
      <c r="B15" s="32" t="s">
        <v>293</v>
      </c>
      <c r="C15" s="33" t="str">
        <f t="shared" si="1"/>
        <v>PASSED</v>
      </c>
      <c r="D15" s="34">
        <f>SUMPRODUCT((Documents!G2:G15=FALSE)*(Documents!H2:H15=FALSE)) + SUMPRODUCT((Documents!G2:G15=TRUE)*(Documents!H2:H15=TRUE))</f>
        <v>0</v>
      </c>
      <c r="E15" s="32" t="s">
        <v>294</v>
      </c>
      <c r="F15" s="32" t="s">
        <v>295</v>
      </c>
      <c r="G15" s="35" t="s">
        <v>296</v>
      </c>
    </row>
    <row r="16">
      <c r="A16" s="40" t="s">
        <v>297</v>
      </c>
      <c r="B16" s="41" t="s">
        <v>298</v>
      </c>
      <c r="C16" s="42" t="str">
        <f>IF(COUNTIF(C9:C15, "FAILED")=0, "100% COMPLIANT", "DEFICIENT")</f>
        <v>100% COMPLIANT</v>
      </c>
      <c r="D16" s="43">
        <f>SUM(D9:D15)</f>
        <v>0</v>
      </c>
      <c r="E16" s="41" t="s">
        <v>299</v>
      </c>
      <c r="F16" s="41" t="s">
        <v>300</v>
      </c>
      <c r="G16" s="44" t="s">
        <v>301</v>
      </c>
    </row>
    <row r="18">
      <c r="A18" s="27" t="s">
        <v>302</v>
      </c>
    </row>
    <row r="19">
      <c r="A19" s="28" t="s">
        <v>303</v>
      </c>
      <c r="B19" s="29" t="s">
        <v>304</v>
      </c>
      <c r="C19" s="29" t="s">
        <v>305</v>
      </c>
      <c r="D19" s="29" t="s">
        <v>306</v>
      </c>
      <c r="E19" s="29" t="s">
        <v>307</v>
      </c>
      <c r="F19" s="29" t="s">
        <v>308</v>
      </c>
      <c r="G19" s="30" t="s">
        <v>309</v>
      </c>
    </row>
    <row r="20">
      <c r="A20" s="45" t="s">
        <v>35</v>
      </c>
      <c r="B20" s="46">
        <f>COUNTIF(Documents!N2:N15, "VALID")</f>
        <v>6</v>
      </c>
      <c r="C20" s="47">
        <f>B20/COUNTA(Documents!A2:A15)</f>
        <v>0.4285714286</v>
      </c>
      <c r="D20" s="32" t="s">
        <v>36</v>
      </c>
      <c r="E20" s="32" t="s">
        <v>310</v>
      </c>
      <c r="F20" s="32" t="s">
        <v>311</v>
      </c>
      <c r="G20" s="35" t="s">
        <v>312</v>
      </c>
    </row>
    <row r="21">
      <c r="A21" s="48" t="s">
        <v>80</v>
      </c>
      <c r="B21" s="49">
        <f>COUNTIF(Documents!N2:N15, "EXPIRING_SOON")</f>
        <v>2</v>
      </c>
      <c r="C21" s="50">
        <f>B21/COUNTA(Documents!A2:A15)</f>
        <v>0.1428571429</v>
      </c>
      <c r="D21" s="37" t="s">
        <v>36</v>
      </c>
      <c r="E21" s="37" t="s">
        <v>313</v>
      </c>
      <c r="F21" s="37" t="s">
        <v>314</v>
      </c>
      <c r="G21" s="39" t="s">
        <v>315</v>
      </c>
    </row>
    <row r="22">
      <c r="A22" s="45" t="s">
        <v>50</v>
      </c>
      <c r="B22" s="46">
        <f>COUNTIF(Documents!N2:N15, "EXPIRED")</f>
        <v>2</v>
      </c>
      <c r="C22" s="47">
        <f>B22/COUNTA(Documents!A2:A15)</f>
        <v>0.1428571429</v>
      </c>
      <c r="D22" s="32" t="s">
        <v>51</v>
      </c>
      <c r="E22" s="32" t="s">
        <v>316</v>
      </c>
      <c r="F22" s="32" t="s">
        <v>317</v>
      </c>
      <c r="G22" s="35" t="s">
        <v>318</v>
      </c>
    </row>
    <row r="23">
      <c r="A23" s="48" t="s">
        <v>56</v>
      </c>
      <c r="B23" s="49">
        <f>COUNTIF(Documents!N2:N15, "UNDER_REVIEW")</f>
        <v>1</v>
      </c>
      <c r="C23" s="50">
        <f>B23/COUNTA(Documents!A2:A15)</f>
        <v>0.07142857143</v>
      </c>
      <c r="D23" s="37" t="s">
        <v>57</v>
      </c>
      <c r="E23" s="37" t="s">
        <v>319</v>
      </c>
      <c r="F23" s="37" t="s">
        <v>320</v>
      </c>
      <c r="G23" s="39" t="s">
        <v>321</v>
      </c>
    </row>
    <row r="24">
      <c r="A24" s="45" t="s">
        <v>114</v>
      </c>
      <c r="B24" s="46">
        <f>COUNTIF(Documents!N2:N15, "SUBMITTED")</f>
        <v>1</v>
      </c>
      <c r="C24" s="47">
        <f>B24/COUNTA(Documents!A2:A15)</f>
        <v>0.07142857143</v>
      </c>
      <c r="D24" s="32" t="s">
        <v>57</v>
      </c>
      <c r="E24" s="32" t="s">
        <v>322</v>
      </c>
      <c r="F24" s="32" t="s">
        <v>323</v>
      </c>
      <c r="G24" s="35" t="s">
        <v>324</v>
      </c>
    </row>
    <row r="25">
      <c r="A25" s="48" t="s">
        <v>65</v>
      </c>
      <c r="B25" s="49">
        <f>COUNTIF(Documents!N2:N15, "REJECTED")</f>
        <v>1</v>
      </c>
      <c r="C25" s="50">
        <f>B25/COUNTA(Documents!A2:A15)</f>
        <v>0.07142857143</v>
      </c>
      <c r="D25" s="37" t="s">
        <v>66</v>
      </c>
      <c r="E25" s="37" t="s">
        <v>325</v>
      </c>
      <c r="F25" s="37" t="s">
        <v>326</v>
      </c>
      <c r="G25" s="39" t="s">
        <v>327</v>
      </c>
    </row>
    <row r="26">
      <c r="A26" s="45" t="s">
        <v>29</v>
      </c>
      <c r="B26" s="46">
        <f>COUNTIF(Documents!N2:N15, "SUPERSEDED")</f>
        <v>1</v>
      </c>
      <c r="C26" s="47">
        <f>B26/COUNTA(Documents!A2:A15)</f>
        <v>0.07142857143</v>
      </c>
      <c r="D26" s="32" t="s">
        <v>29</v>
      </c>
      <c r="E26" s="32" t="s">
        <v>328</v>
      </c>
      <c r="F26" s="32" t="s">
        <v>329</v>
      </c>
      <c r="G26" s="35" t="s">
        <v>330</v>
      </c>
    </row>
    <row r="27">
      <c r="A27" s="40" t="s">
        <v>331</v>
      </c>
      <c r="B27" s="43">
        <f t="shared" ref="B27:C27" si="2">SUM(B20:B26)</f>
        <v>14</v>
      </c>
      <c r="C27" s="51">
        <f t="shared" si="2"/>
        <v>1</v>
      </c>
      <c r="D27" s="41" t="s">
        <v>332</v>
      </c>
      <c r="E27" s="41" t="s">
        <v>333</v>
      </c>
      <c r="F27" s="41" t="s">
        <v>334</v>
      </c>
      <c r="G27" s="44" t="s">
        <v>335</v>
      </c>
    </row>
  </sheetData>
  <mergeCells count="13">
    <mergeCell ref="A5:B5"/>
    <mergeCell ref="A6:B6"/>
    <mergeCell ref="C6:D6"/>
    <mergeCell ref="E6:F6"/>
    <mergeCell ref="A7:G7"/>
    <mergeCell ref="A18:G18"/>
    <mergeCell ref="A1:G1"/>
    <mergeCell ref="A2:G2"/>
    <mergeCell ref="A4:B4"/>
    <mergeCell ref="C4:D4"/>
    <mergeCell ref="E4:F4"/>
    <mergeCell ref="C5:D5"/>
    <mergeCell ref="E5:F5"/>
  </mergeCells>
  <drawing r:id="rId1"/>
</worksheet>
</file>