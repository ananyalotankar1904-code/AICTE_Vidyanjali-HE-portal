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_Events" sheetId="1" r:id="rId5"/>
    <sheet state="visible" name="Data_Dictionary" sheetId="2" r:id="rId6"/>
    <sheet state="visible" name="Read_Me" sheetId="3" r:id="rId7"/>
    <sheet state="visible" name="Validation_Report" sheetId="4" r:id="rId8"/>
  </sheets>
  <definedNames>
    <definedName hidden="1" localSheetId="0" name="_xlnm._FilterDatabase">Audit_Events!$A$6:$Q$26</definedName>
    <definedName hidden="1" localSheetId="1" name="_xlnm._FilterDatabase">Data_Dictionary!$A$1:$G$18</definedName>
    <definedName hidden="1" localSheetId="2" name="_xlnm._FilterDatabase">Read_Me!$A$1:$D$21</definedName>
  </definedNames>
  <calcPr/>
</workbook>
</file>

<file path=xl/sharedStrings.xml><?xml version="1.0" encoding="utf-8"?>
<sst xmlns="http://schemas.openxmlformats.org/spreadsheetml/2006/main" count="611" uniqueCount="390">
  <si>
    <t>AICTE APPROVAL WORKFLOW AUTOMATION — DATASET 9 AUDIT INTEGRITY &amp; VALIDATION REPORT</t>
  </si>
  <si>
    <t>TOTAL AUDIT EVENTS</t>
  </si>
  <si>
    <t>AICTE APPROVAL WORKFLOW AUTOMATION — SYNTHETIC AUDIT EVENT SEED LOG (DATASET 9)</t>
  </si>
  <si>
    <t>Field_Name</t>
  </si>
  <si>
    <t>Section</t>
  </si>
  <si>
    <t>Topic</t>
  </si>
  <si>
    <t>Specification_Value</t>
  </si>
  <si>
    <t>DUPLICATE EVENT ID AUDIT</t>
  </si>
  <si>
    <t>Operational_Guidance_And_Architecture</t>
  </si>
  <si>
    <t>System Architecture</t>
  </si>
  <si>
    <t>UNIQUE APPLICATIONS</t>
  </si>
  <si>
    <t>Data_Type</t>
  </si>
  <si>
    <t>CHRONOLOGY &amp; ORDER AUDIT</t>
  </si>
  <si>
    <t>REGULATORY ACTION TYPES</t>
  </si>
  <si>
    <t>Key_Type</t>
  </si>
  <si>
    <t>AUTOMATED VS USER EVENTS</t>
  </si>
  <si>
    <t>Referenced_Entity</t>
  </si>
  <si>
    <t>SYNTHETIC FLAG COVERAGE</t>
  </si>
  <si>
    <t>Null_Allowed</t>
  </si>
  <si>
    <t>Prototype Purpose</t>
  </si>
  <si>
    <t>Example_Value</t>
  </si>
  <si>
    <t>SIH26262 AICTE Approval Engine</t>
  </si>
  <si>
    <t>Description</t>
  </si>
  <si>
    <t>Provides an immutable chronological audit trail tracking institutional workflows, compliance checks, and regulatory determinations.</t>
  </si>
  <si>
    <t>audit_event_id</t>
  </si>
  <si>
    <t>Event-Driven Pattern</t>
  </si>
  <si>
    <t>String (Alphanumeric)</t>
  </si>
  <si>
    <t>Event Sourcing &amp; Append-Only Log</t>
  </si>
  <si>
    <t>Audit records represent immutable historical facts. The audit table is append-only; update and delete operations are strictly prohibited.</t>
  </si>
  <si>
    <t>Live Backend Integration</t>
  </si>
  <si>
    <t>Backend Event Dispatcher</t>
  </si>
  <si>
    <t>Primary Key</t>
  </si>
  <si>
    <t>Live audit events must subsequently be written by the backend API/workflow engine whenever actual user or system actions occur.</t>
  </si>
  <si>
    <t>None</t>
  </si>
  <si>
    <t>Regulatory Framework</t>
  </si>
  <si>
    <t>Compliance Basis</t>
  </si>
  <si>
    <t>AICTE APH 2024-27 Norms</t>
  </si>
  <si>
    <t>No</t>
  </si>
  <si>
    <t>All state transitions, roles, and scrutiny gates model official AICTE Approval Process Handbook guidelines for transparent public service.</t>
  </si>
  <si>
    <t>Separation of Duties</t>
  </si>
  <si>
    <t>RBAC Role Partitioning</t>
  </si>
  <si>
    <t>Ensures applicant, desk intake officer, scrutiny expert, EVC coordinator, and competent authority have partitioned, non-overlapping powers.</t>
  </si>
  <si>
    <t>Official Decisions Policy</t>
  </si>
  <si>
    <t>Exclusive Competent Authority Mandate</t>
  </si>
  <si>
    <t>EVT-2026-0001</t>
  </si>
  <si>
    <t>Per AICTE Act 1987 statutory mandate, ONLY ROLE_COMPETENT_AUTH may record official decisions (LoA, EoA, Rejection, Hibernation).</t>
  </si>
  <si>
    <t>Data Lineage</t>
  </si>
  <si>
    <t>Unique immutable identifier for each audit transaction log entry (Format: EVT-YYYY-NNNN).</t>
  </si>
  <si>
    <t>Upstream Dataset Links</t>
  </si>
  <si>
    <t>timestamp</t>
  </si>
  <si>
    <t>Datasets 1 to 8 Canonical Lineage</t>
  </si>
  <si>
    <t>Referential integrity strictly reconciled across master Applications (APP001–APP025), Documents (DOC-*), Undertakings (UND-*), and Deadlines (DDL-*).</t>
  </si>
  <si>
    <t>DateTime (ISO 8601)</t>
  </si>
  <si>
    <t>Entity Types Tracked</t>
  </si>
  <si>
    <t>Descriptive</t>
  </si>
  <si>
    <t>Multi-Entity Traceability</t>
  </si>
  <si>
    <t>Unified logging covers Applications, Documents, Undertakings, Deadlines, Notifications, and Payment gateway transactions.</t>
  </si>
  <si>
    <t>Data Hygiene &amp; PII</t>
  </si>
  <si>
    <t>PII Sanitization</t>
  </si>
  <si>
    <t>Zero Real Personal Information</t>
  </si>
  <si>
    <t>All actor IDs (USR_DEMO_*), system triggers, emails, and applicant names are synthetic to strictly protect confidentiality.</t>
  </si>
  <si>
    <t>Synthetic Tagging</t>
  </si>
  <si>
    <t>is_synthetic_event = TRUE</t>
  </si>
  <si>
    <t>Every seed record is tagged with an immutable synthetic flag to guarantee isolation from any production government environments.</t>
  </si>
  <si>
    <t>Workflow Scenarios</t>
  </si>
  <si>
    <t>Application Lifecycle</t>
  </si>
  <si>
    <t>Exact system timestamp when the state change or action occurred (UTC+05:30).</t>
  </si>
  <si>
    <t>Submission &amp; Payment</t>
  </si>
  <si>
    <t>Tracks applicant notary affidavit locking, portal lodgment, and automated payment gateway webhook reconciliation.</t>
  </si>
  <si>
    <t>actor_user_id</t>
  </si>
  <si>
    <t>Committee Evaluation</t>
  </si>
  <si>
    <t>Logged Synthetic Seed Events</t>
  </si>
  <si>
    <t>Scrutiny &amp; EVC Inspection</t>
  </si>
  <si>
    <t>Traces intake officer panel routing, scrutiny document evaluation, and physical inspection scheduling by EVC coordinator.</t>
  </si>
  <si>
    <t>Cross-Referenced Cases</t>
  </si>
  <si>
    <t>Foreign Key</t>
  </si>
  <si>
    <t>Exception Management</t>
  </si>
  <si>
    <t>Deficiency Loop &amp; Rectification</t>
  </si>
  <si>
    <t>Distinct Lifecycle Actions</t>
  </si>
  <si>
    <t>Demo_Users.user_id / System</t>
  </si>
  <si>
    <t>Captures deficiency memo dispatch, applicant document resubmission, and subsequent scrutiny re-evaluation.</t>
  </si>
  <si>
    <t>Automated Triggers vs Staff Actions</t>
  </si>
  <si>
    <t>Automated Escalations</t>
  </si>
  <si>
    <t>SLA Tracking &amp; Timers</t>
  </si>
  <si>
    <t>USR_DEMO_001</t>
  </si>
  <si>
    <t>Logs automated cron-job deadline creation and Level 3 non-blocking escalation to the Standing Appellate Committee (SAC).</t>
  </si>
  <si>
    <t>Terminal Determinations</t>
  </si>
  <si>
    <t>Unique identifier of authenticated synthetic user (Dataset 8 Demo_Users) or automated system engine.</t>
  </si>
  <si>
    <t>LoA, EoA, Rejection, Withdrawal</t>
  </si>
  <si>
    <t>Records Competent Authority statutory determinations and voluntary institutional closures with governing resolution proofs.</t>
  </si>
  <si>
    <t>actor_role</t>
  </si>
  <si>
    <t>Security &amp; Auditing</t>
  </si>
  <si>
    <t>Tamper-Evident Hashing</t>
  </si>
  <si>
    <t>String (Enum)</t>
  </si>
  <si>
    <t>Cryptographic Ledger Ready</t>
  </si>
  <si>
    <t>Audit event records support SHA-256 event chaining and immutable sequence logging for verifiable e-governance non-repudiation.</t>
  </si>
  <si>
    <t>action_code</t>
  </si>
  <si>
    <t>Role_Permissions.Role_Code</t>
  </si>
  <si>
    <t>action_description</t>
  </si>
  <si>
    <t>Actor Attribution</t>
  </si>
  <si>
    <t>System vs Human Attribution</t>
  </si>
  <si>
    <t>entity_type</t>
  </si>
  <si>
    <t>Differentiates automated system jobs (SYS_ENGINE_AUTO / ROLE_SYS_ADMIN) from authenticated administrative officer actions (USR_DEMO_*).</t>
  </si>
  <si>
    <t>ROLE_INST_APPLICANT</t>
  </si>
  <si>
    <t>entity_id</t>
  </si>
  <si>
    <t>Timestamp Standards</t>
  </si>
  <si>
    <t>ISO 8601 Compliance</t>
  </si>
  <si>
    <t>application_id</t>
  </si>
  <si>
    <t>RBAC security role governing user authority per Dataset 8 (ROLE_INST_APPLICANT, ROLE_INTAKE_OFFICER, ROLE_SCRUTINY_OFFICER, ROLE_EVC_TEAM, ROLE_COMPETENT_AUTH, ROLE_SYS_ADMIN).</t>
  </si>
  <si>
    <t>YYYY-MM-DD HH:MM:SS (IST)</t>
  </si>
  <si>
    <t>previous_stage</t>
  </si>
  <si>
    <t>Standardized timestamp format anchored to Indian Standard Time (UTC+05:30) with simulation anchor date 2026-10-25.</t>
  </si>
  <si>
    <t>new_stage</t>
  </si>
  <si>
    <t>Operational Cadence</t>
  </si>
  <si>
    <t>previous_status</t>
  </si>
  <si>
    <t>Verification Protocol</t>
  </si>
  <si>
    <t>new_status</t>
  </si>
  <si>
    <t>Pre-Ingestion Validation</t>
  </si>
  <si>
    <t>Database migrations and API gateways must enforce foreign key resolution against master application and user tables before log insertion.</t>
  </si>
  <si>
    <t>reason_or_comment</t>
  </si>
  <si>
    <t>Export &amp; Interchange</t>
  </si>
  <si>
    <t>event_source</t>
  </si>
  <si>
    <t>Workbook Distribution</t>
  </si>
  <si>
    <t>Downloadable .xlsx Export</t>
  </si>
  <si>
    <t>is_synthetic_event</t>
  </si>
  <si>
    <t>Structured workbook format allows immediate prototype ingestion, evaluation by hackathon judges, and offline analysis.</t>
  </si>
  <si>
    <t>demo_notes</t>
  </si>
  <si>
    <t>SUBMIT_APPLICATION</t>
  </si>
  <si>
    <t>Standardized machine-readable action verb representing the workflow trigger (19 distinct action types).</t>
  </si>
  <si>
    <t>String (Text)</t>
  </si>
  <si>
    <t>Locked application form and submitted notary affidavit</t>
  </si>
  <si>
    <t>APPLICATION</t>
  </si>
  <si>
    <t>Human-readable explanation of the operational or administrative action performed.</t>
  </si>
  <si>
    <t>APP001</t>
  </si>
  <si>
    <t>DRAFT</t>
  </si>
  <si>
    <t>SUBMITTED</t>
  </si>
  <si>
    <t>Submitted with digital signature token for Western region</t>
  </si>
  <si>
    <t>WEB_PORTAL</t>
  </si>
  <si>
    <t>High-level system entity affected (APPLICATION, DOCUMENT, UNDERTAKING, DEADLINE, NOTIFICATION, PAYMENT).</t>
  </si>
  <si>
    <t>Illustrative seed event: initial institutional submission.</t>
  </si>
  <si>
    <t>EVT-2026-0002</t>
  </si>
  <si>
    <t>20 Seeded Log Records</t>
  </si>
  <si>
    <t>SYS_ENGINE_AUTO</t>
  </si>
  <si>
    <t>Dynamic by Entity Type</t>
  </si>
  <si>
    <t>ROLE_SYS_ADMIN</t>
  </si>
  <si>
    <t>PAYMENT_SUCCESS</t>
  </si>
  <si>
    <t>Reconciled Bharatkosh TER charge payment ₹500,000</t>
  </si>
  <si>
    <t>PAYMENT</t>
  </si>
  <si>
    <t>Primary key of specific entity altered, created, or reviewed (maps to canonical IDs in Datasets 2, 5, 6, 7).</t>
  </si>
  <si>
    <t>PAY-2026-9011</t>
  </si>
  <si>
    <t>EVT-2026-0001 to 0020 Verified</t>
  </si>
  <si>
    <t>INITIAL_VALIDATION</t>
  </si>
  <si>
    <t>PENDING_PAYMENT</t>
  </si>
  <si>
    <t>All Timestamps Monotonic &amp; Valid</t>
  </si>
  <si>
    <t>PAID</t>
  </si>
  <si>
    <t>Payment gateway webhook transaction ID TXN-99812-BK</t>
  </si>
  <si>
    <t>Applications.application_id</t>
  </si>
  <si>
    <t>GATEWAY_WEBHOOK</t>
  </si>
  <si>
    <t>100% Labelled Demo Seeds</t>
  </si>
  <si>
    <t>Illustrative seed event: regulatory fee confirmation.</t>
  </si>
  <si>
    <t>EVT-2026-0003</t>
  </si>
  <si>
    <t>AICTE master application tracking ID referencing Dataset 2 Applications (APP001–APP025).</t>
  </si>
  <si>
    <t>USR_DEMO_002</t>
  </si>
  <si>
    <t>ROLE_INTAKE_OFFICER</t>
  </si>
  <si>
    <t>ASSIGN_SCRUTINY</t>
  </si>
  <si>
    <t>Rule_ID</t>
  </si>
  <si>
    <t>Allocated 2-member scrutiny panel for land and legal scrutiny</t>
  </si>
  <si>
    <t>Stage_Definitions.Stage_Code</t>
  </si>
  <si>
    <t>Yes</t>
  </si>
  <si>
    <t>INITIAL_SCRUTINY</t>
  </si>
  <si>
    <t>UNDER_SCRUTINY</t>
  </si>
  <si>
    <t>Stage code immediately prior to triggering action; must exist in Dataset 3 Stage_Definitions (15 canonical stages).</t>
  </si>
  <si>
    <t>Assigned panel experts USR_DEMO_003 and panel co-reviewer</t>
  </si>
  <si>
    <t>AICTE_BACKOFFICE</t>
  </si>
  <si>
    <t>Illustrative seed event: regional office committee assignment.</t>
  </si>
  <si>
    <t>Validation_Category</t>
  </si>
  <si>
    <t>EVT-2026-0004</t>
  </si>
  <si>
    <t>Audit_Rule_Description</t>
  </si>
  <si>
    <t>Validation_Logic_Or_Formula</t>
  </si>
  <si>
    <t>USR_DEMO_003</t>
  </si>
  <si>
    <t>Evaluated_Scope</t>
  </si>
  <si>
    <t>Validation_Status</t>
  </si>
  <si>
    <t>ROLE_SCRUTINY_OFFICER</t>
  </si>
  <si>
    <t>Stage code entered upon successful transition; must exist in Dataset 3 Stage_Definitions (15 canonical stages).</t>
  </si>
  <si>
    <t>SCRUTINY_PASS</t>
  </si>
  <si>
    <t>Audit_Remarks_And_Lineage</t>
  </si>
  <si>
    <t>Cleared land title, 30-year lease deed, and municipal building plan</t>
  </si>
  <si>
    <t>VAL-RULE-001</t>
  </si>
  <si>
    <t>EVC_PENDING</t>
  </si>
  <si>
    <t>RECOMMENDED</t>
  </si>
  <si>
    <t>Primary Key Uniqueness</t>
  </si>
  <si>
    <t>All statutory land and building documents verified 100% compliant</t>
  </si>
  <si>
    <t>PORTAL_REVIEW</t>
  </si>
  <si>
    <t>Verify audit_event_id is unique across all logged transactions with zero duplicate keys.</t>
  </si>
  <si>
    <t>Illustrative seed event: scrutiny pass recommendation.</t>
  </si>
  <si>
    <t>Operational entity lifecycle status prior to event transaction.</t>
  </si>
  <si>
    <t>EVT-2026-0005</t>
  </si>
  <si>
    <t>DOC_RENEWAL_UPLOAD</t>
  </si>
  <si>
    <t>Uploaded renewed 30-year registered land lease deed v2.0</t>
  </si>
  <si>
    <t>DOCUMENT</t>
  </si>
  <si>
    <t>DOC-2026-0002</t>
  </si>
  <si>
    <t>SUPERSEDED</t>
  </si>
  <si>
    <t>VALID</t>
  </si>
  <si>
    <t>Renewed deed DOC-2026-0002 supersedes expired DOC-2026-0001</t>
  </si>
  <si>
    <t>Audit_Events!A7:A26</t>
  </si>
  <si>
    <t>Operational entity lifecycle status immediately following transaction.</t>
  </si>
  <si>
    <t>Illustrative seed event: document versioning and renewal.</t>
  </si>
  <si>
    <t>EVT-2026-0006</t>
  </si>
  <si>
    <t>PASS</t>
  </si>
  <si>
    <t>USR_DEMO_004</t>
  </si>
  <si>
    <t>ROLE_EVC_TEAM</t>
  </si>
  <si>
    <t>SCHEDULE_EVC</t>
  </si>
  <si>
    <t>Scheduled 3-member physical Expert Visit Committee inspection</t>
  </si>
  <si>
    <t>EVC_SCHEDULED</t>
  </si>
  <si>
    <t>EVT-2026-0001 through EVT-2026-0020 strictly unique; 0 duplicate IDs detected.</t>
  </si>
  <si>
    <t>INSPECTION_SCHEDULED</t>
  </si>
  <si>
    <t>Explanatory context, committee remarks, deficiency grounds, or transaction tokens.</t>
  </si>
  <si>
    <t>VAL-RULE-002</t>
  </si>
  <si>
    <t>Inspection date fixed for Oct 28; notice dispatched</t>
  </si>
  <si>
    <t>Temporal Chronology</t>
  </si>
  <si>
    <t>WORKFLOW_ENGINE</t>
  </si>
  <si>
    <t>Validate that event timestamps follow chronological sequence without backwards date travel.</t>
  </si>
  <si>
    <t>Illustrative seed event: inspection committee scheduling.</t>
  </si>
  <si>
    <t>EVT-2026-0007</t>
  </si>
  <si>
    <t>DISPATCH_NOTIFICATION</t>
  </si>
  <si>
    <t>Dispatched EVC inspection notice NOTIF-2026-001 to expert panel</t>
  </si>
  <si>
    <t>NOTIFICATION</t>
  </si>
  <si>
    <t>NOTIF-2026-001</t>
  </si>
  <si>
    <t>Originating interface or system engine (WEB_PORTAL, AICTE_BACKOFFICE, WORKFLOW_ENGINE, ALERT_ENGINE, GATEWAY_WEBHOOK, PORTAL_REVIEW, CRON_SCHEDULER, COUNCIL_PORTAL).</t>
  </si>
  <si>
    <t>ACTIVE</t>
  </si>
  <si>
    <t>High priority email notification dispatched to evc.panel1</t>
  </si>
  <si>
    <t>ALERT_ENGINE</t>
  </si>
  <si>
    <t>Illustrative seed event: automated notification dispatch.</t>
  </si>
  <si>
    <t>Boolean</t>
  </si>
  <si>
    <t>EVT-2026-0008</t>
  </si>
  <si>
    <t>FLAG_DEFICIENCIES</t>
  </si>
  <si>
    <t>Issued deficiency memo for expired Fire Safety NOC and cadre ratio</t>
  </si>
  <si>
    <t>APP002</t>
  </si>
  <si>
    <t>DEFICIENCY_RAISED</t>
  </si>
  <si>
    <t>Explicit boolean flag designating record as synthetic mock data for prototype demonstration.</t>
  </si>
  <si>
    <t>DEFICIENT</t>
  </si>
  <si>
    <t>Flagged DOC-2026-0004 expired; opened 10-day upload window</t>
  </si>
  <si>
    <t>Illustrative seed event: deficiency memo issuance.</t>
  </si>
  <si>
    <t>EVT-2026-0009</t>
  </si>
  <si>
    <t>CREATE_DEADLINE</t>
  </si>
  <si>
    <t>Initialized 10-day deficiency rectification SLA timer DDL-2026-002</t>
  </si>
  <si>
    <t>DEADLINE</t>
  </si>
  <si>
    <t>Audit_Events!B7:B26</t>
  </si>
  <si>
    <t>DDL-2026-002</t>
  </si>
  <si>
    <t>Timestamps range from 2026-08-20 to 2026-10-25; chronologically aligned per application timeline.</t>
  </si>
  <si>
    <t>Prototype annotations clarifying testing boundaries, simulated scenarios, and governance constraints.</t>
  </si>
  <si>
    <t>VAL-RULE-003</t>
  </si>
  <si>
    <t>Application Lineage</t>
  </si>
  <si>
    <t>UPCOMING</t>
  </si>
  <si>
    <t>Ensure application_id foreign keys match canonical applications from Dataset 2 (APP001–APP025).</t>
  </si>
  <si>
    <t>Hard deadline calculated as 2026-10-28 per APH Section 2.4</t>
  </si>
  <si>
    <t>CRON_SCHEDULER</t>
  </si>
  <si>
    <t>Illustrative seed event: dynamic deadline timer creation.</t>
  </si>
  <si>
    <t>EVT-2026-0010</t>
  </si>
  <si>
    <t>RECTIFY_DEFICIENCY</t>
  </si>
  <si>
    <t>Uploaded renewed provisional Fire Safety NOC DOC-2026-0005</t>
  </si>
  <si>
    <t>DOC-2026-0005</t>
  </si>
  <si>
    <t>RE_SCRUTINY</t>
  </si>
  <si>
    <t>UNDER_REVIEW</t>
  </si>
  <si>
    <t>Rectification submitted under UND-2026-004; awaiting re-scrutiny</t>
  </si>
  <si>
    <t>Illustrative seed event: applicant deficiency correction.</t>
  </si>
  <si>
    <t>EVT-2026-0011</t>
  </si>
  <si>
    <t>Audit_Events!I7:I26</t>
  </si>
  <si>
    <t>VERIFY_UNDERTAKING</t>
  </si>
  <si>
    <t>11 distinct valid application IDs referenced across western, northern, and eastern regions reconciled to Dataset 2 (APP001–APP025).</t>
  </si>
  <si>
    <t>Verified high-availability cloud LMS affidavit and bandwidth test</t>
  </si>
  <si>
    <t>UNDERTAKING</t>
  </si>
  <si>
    <t>VAL-RULE-004</t>
  </si>
  <si>
    <t>UND-2026-007</t>
  </si>
  <si>
    <t>RBAC Role Permissions</t>
  </si>
  <si>
    <t>APP008</t>
  </si>
  <si>
    <t>Ensure actions are attributed solely to authorized Dataset 8 RBAC roles and enforce SoD on statutory decisions.</t>
  </si>
  <si>
    <t>AWAITING_VERIFICATION</t>
  </si>
  <si>
    <t>VERIFIED</t>
  </si>
  <si>
    <t>1 Gbps dedicated cloud infrastructure verified compliant</t>
  </si>
  <si>
    <t>Illustrative seed event: compliance undertaking verification.</t>
  </si>
  <si>
    <t>EVT-2026-0012</t>
  </si>
  <si>
    <t>TRANSMIT_FOR_EC</t>
  </si>
  <si>
    <t>Endorsed favorable joint campus merger EVC report (Score 88%)</t>
  </si>
  <si>
    <t>APP010</t>
  </si>
  <si>
    <t>EVC_COMPLETED</t>
  </si>
  <si>
    <t>COMMITTEE_REVIEW</t>
  </si>
  <si>
    <t>INSPECTED</t>
  </si>
  <si>
    <t>RECOMMENDED_APPROVAL</t>
  </si>
  <si>
    <t>Verified asset handover deed UND-2026-008; forwarded to Council</t>
  </si>
  <si>
    <t>Illustrative seed event: regional officer inspection endorsement.</t>
  </si>
  <si>
    <t>EVT-2026-0013</t>
  </si>
  <si>
    <t>REJECT_CORRECTION</t>
  </si>
  <si>
    <t>Rejected kitchen ventilation blueprint due to missing architect stamp</t>
  </si>
  <si>
    <t>DOC-2026-8790</t>
  </si>
  <si>
    <t>APP019</t>
  </si>
  <si>
    <t>REVISION_REQUIRED</t>
  </si>
  <si>
    <t>Deficiency memo NOTIF-2026-023 dispatched; 24h upload remaining</t>
  </si>
  <si>
    <t>Audit_Events!D7:D26 &amp; E7:E26</t>
  </si>
  <si>
    <t>Illustrative seed event: incomplete correction rejected.</t>
  </si>
  <si>
    <t>EVT-2026-0014</t>
  </si>
  <si>
    <t>Zero unauthorized actions: Council decisions (EVT-0016, 0017, 0018, 0020) strictly bound to ROLE_COMPETENT_AUTH per AICTE Act 1987 mandate.</t>
  </si>
  <si>
    <t>VAL-RULE-005</t>
  </si>
  <si>
    <t>State Transition Integrity</t>
  </si>
  <si>
    <t>ESCALATE_DEADLINE</t>
  </si>
  <si>
    <t>Verify previous_stage and new_stage strictly conform to Dataset 3's 15 canonical workflow stages.</t>
  </si>
  <si>
    <t>ODL proctoring security SLA elapsed; automated referral to SAC</t>
  </si>
  <si>
    <t>DDL-2026-024</t>
  </si>
  <si>
    <t>APP024</t>
  </si>
  <si>
    <t>OVERDUE</t>
  </si>
  <si>
    <t>ESCALATED</t>
  </si>
  <si>
    <t>Automated Level 3 non-blocking escalation triggered; docketed for SAC</t>
  </si>
  <si>
    <t>Illustrative seed event: SLA breach automated escalation.</t>
  </si>
  <si>
    <t>EVT-2026-0015</t>
  </si>
  <si>
    <t>Dispatched appellate hearing summon NOTIF-2026-029 to institution</t>
  </si>
  <si>
    <t>Audit_Events!J7:M26</t>
  </si>
  <si>
    <t>NOTIF-2026-029</t>
  </si>
  <si>
    <t>All transitions strictly conform to Dataset 3 Stage Definitions (DRAFT, SUBMITTED, INITIAL_VALIDATION, INITIAL_SCRUTINY, DEFICIENCY_RAISED, etc.).</t>
  </si>
  <si>
    <t>VAL-RULE-006</t>
  </si>
  <si>
    <t>Synthetic Labelling</t>
  </si>
  <si>
    <t>Check that all simulated records have is_synthetic_event set to TRUE and include demo explanatory notes.</t>
  </si>
  <si>
    <t>HEARING_SCHEDULED</t>
  </si>
  <si>
    <t>Urgent email notice sent to director@vindhyamgmt.ac.in</t>
  </si>
  <si>
    <t>Illustrative seed event: automated hearing summons dispatch.</t>
  </si>
  <si>
    <t>EVT-2026-0016</t>
  </si>
  <si>
    <t>USR_DEMO_006</t>
  </si>
  <si>
    <t>ROLE_COMPETENT_AUTH</t>
  </si>
  <si>
    <t>ISSUE_LOA</t>
  </si>
  <si>
    <t>Executive Committee signed and recorded Letter of Approval (LoA)</t>
  </si>
  <si>
    <t>APP013</t>
  </si>
  <si>
    <t>DECISION_PENDING</t>
  </si>
  <si>
    <t>COMPLETED</t>
  </si>
  <si>
    <t>PENDING_COUNCIL</t>
  </si>
  <si>
    <t>Audit_Events!P7:P26 &amp; Q7:Q26</t>
  </si>
  <si>
    <t>APPROVED</t>
  </si>
  <si>
    <t>Demo simulation: LoA granted for 60 B.Pharm seats (Corpus verified)</t>
  </si>
  <si>
    <t>COUNCIL_PORTAL</t>
  </si>
  <si>
    <t>20/20 events explicitly flagged as synthetic test data; prevents confusion with live AICTE audit streams.</t>
  </si>
  <si>
    <t>Illustrative demo decision: clearly labelled synthetic approval order.</t>
  </si>
  <si>
    <t>VAL-RULE-007</t>
  </si>
  <si>
    <t>EVT-2026-0017</t>
  </si>
  <si>
    <t>Official Decision Labelling</t>
  </si>
  <si>
    <t>Ensure official statutory decisions (ISSUE_LOA, ISSUE_EOA, REJECT, ENTER_HIBERNATION) are clearly marked as synthetic demo orders.</t>
  </si>
  <si>
    <t>ISSUE_EOA</t>
  </si>
  <si>
    <t>Executive Committee approved routine annual Extension of Approval</t>
  </si>
  <si>
    <t>APP003</t>
  </si>
  <si>
    <t>Demo simulation: Annual EoA 2026-27 issued under routine waiver</t>
  </si>
  <si>
    <t>Illustrative demo decision: clearly labelled synthetic extension order.</t>
  </si>
  <si>
    <t>EVT-2026-0018</t>
  </si>
  <si>
    <t>REJECT_APPLICATION</t>
  </si>
  <si>
    <t>Recorded official Council rejection order due to unapproved sublease</t>
  </si>
  <si>
    <t>Audit_Events!E22:E24, E26 &amp; Q22:Q24, Q26</t>
  </si>
  <si>
    <t>APP014</t>
  </si>
  <si>
    <t>EVT-0016 (LoA), EVT-0017 (EoA), EVT-0018 (Rejection), EVT-0020 (Hibernation) explicitly documented as illustrative council orders.</t>
  </si>
  <si>
    <t>REJECTED</t>
  </si>
  <si>
    <t>VAL-RULE-008</t>
  </si>
  <si>
    <t>Demo simulation: Rejection order citing APH Clause 1.4 land violation</t>
  </si>
  <si>
    <t>Illustrative demo decision: clearly labelled synthetic rejection order.</t>
  </si>
  <si>
    <t>EVT-2026-0019</t>
  </si>
  <si>
    <t>Entity Cross-Referencing</t>
  </si>
  <si>
    <t>REQUEST_WITHDRAWAL</t>
  </si>
  <si>
    <t>Recorded voluntary withdrawal request with Trust governing resolution</t>
  </si>
  <si>
    <t>APP015</t>
  </si>
  <si>
    <t>Validate entity_type and entity_id integrity across documents, deadlines, undertakings, and notifications.</t>
  </si>
  <si>
    <t>WITHDRAWN</t>
  </si>
  <si>
    <t>Voluntary institutional closure resolution confirmed by governing board</t>
  </si>
  <si>
    <t>Illustrative seed event: applicant voluntary withdrawal.</t>
  </si>
  <si>
    <t>EVT-2026-0020</t>
  </si>
  <si>
    <t>Audit_Events!G7:H26</t>
  </si>
  <si>
    <t>ENTER_HIBERNATION</t>
  </si>
  <si>
    <t>Recorded administrative approval placing institution in hibernation</t>
  </si>
  <si>
    <t>APP016</t>
  </si>
  <si>
    <t>All entity types (APPLICATION, DOCUMENT, UNDERTAKING, DEADLINE, NOTIFICATION, PAYMENT) resolved with zero broken links against Datasets 2, 5, 6, 7.</t>
  </si>
  <si>
    <t>HIBERNATED</t>
  </si>
  <si>
    <t>APPROVED_ACTIVE</t>
  </si>
  <si>
    <t>Hibernation approved for AY 2026-27 under APH Section 8 for lab overhaul</t>
  </si>
  <si>
    <t>OPERATIONAL ARCHITECTURE GUIDANCE &amp; CANONICAL GOVERNANCE RECONCILIATION</t>
  </si>
  <si>
    <t>Illustrative seed event: temporary hibernation status.</t>
  </si>
  <si>
    <t>Prototype Boundary</t>
  </si>
  <si>
    <t>These 20 seed audit events represent historical illustrative milestones across sample applications (Datasets 1–8). They establish the initial audit trail baseline for UI demonstrations and test fixtures. They ARE NOT a replacement for runtime audit events generated by live backend microservices.</t>
  </si>
  <si>
    <t>Live Backend Dispatcher</t>
  </si>
  <si>
    <t>When running in prototype or production operation, the backend workflow orchestration engine (Spring Boot / FastAPI / Node.js) MUST intercept every REST API mutation, trigger event dispatchers, and write an immutable append-only record directly to the Audit_Events store with cryptographic hashes.</t>
  </si>
  <si>
    <t>Audit Invariants &amp; Security</t>
  </si>
  <si>
    <t>Runtime audit requirements: 1) Strict append-only log (UPDATE/DELETE operations strictly forbidden by DB triggers). 2) Server-side automated timestamping (NTP-synchronized, tamper-evident). 3) Mandatory RBAC validation before committing state transitions. 4) Zero PII storage in comments.</t>
  </si>
  <si>
    <t>Legacy Key Conflict Reconciliation</t>
  </si>
  <si>
    <t>Audit trail reconciles Dataset 5/7 legacy references: APP-2026-1019 resolved to canonical APP019 (DOC-2026-8790) and APP-2026-1024 to APP024 (DDL-2026-024, NOTIF-2026-029), maintaining zero orphaned records.</t>
  </si>
  <si>
    <t>Statutory SoD &amp; Decision Authority</t>
  </si>
  <si>
    <t>100% compliance with AICTE Act 1987 statutory mandate: Official council decisions (EVT-0016 LoA, EVT-0017 EoA, EVT-0018 Rejection, EVT-0020 Hibernation) strictly assigned to ROLE_COMPETENT_AUTH.</t>
  </si>
  <si>
    <t>Executive Integrity Summary</t>
  </si>
  <si>
    <t>8 of 8 integrity and governance audit checks PASS (100.0% compliance rate). All 20 audit events successfully harmonized across Datasets 1 through 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</si>
</sst>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6">
    <font>
      <sz val="10.0"/>
      <color rgb="FF000000"/>
      <name val="Arial"/>
      <scheme val="minor"/>
    </font>
    <font>
      <b/>
      <sz val="12.0"/>
      <color rgb="FFFFFFFF"/>
      <name val="Google Sans"/>
    </font>
    <font>
      <b/>
      <sz val="9.0"/>
      <color rgb="FF1E3989"/>
      <name val="Google Sans"/>
    </font>
    <font>
      <b/>
      <sz val="12.0"/>
      <color rgb="FFFFFFFF"/>
      <name val="Roboto"/>
    </font>
    <font>
      <b/>
      <sz val="10.0"/>
      <color rgb="FFFFFFFF"/>
      <name val="Roboto"/>
    </font>
    <font/>
    <font>
      <b/>
      <sz val="9.0"/>
      <color rgb="FF1E3989"/>
      <name val="Roboto"/>
    </font>
    <font>
      <sz val="9.0"/>
      <color rgb="FF191921"/>
      <name val="Roboto"/>
    </font>
    <font>
      <b/>
      <sz val="16.0"/>
      <color rgb="FF0F162A"/>
      <name val="Roboto"/>
    </font>
    <font>
      <b/>
      <sz val="14.0"/>
      <color rgb="FF0F162A"/>
      <name val="Google Sans"/>
    </font>
    <font>
      <i/>
      <sz val="8.0"/>
      <color rgb="FF63748A"/>
      <name val="Roboto"/>
    </font>
    <font>
      <i/>
      <sz val="8.0"/>
      <color rgb="FF63748A"/>
      <name val="Google Sans"/>
    </font>
    <font>
      <b/>
      <sz val="10.0"/>
      <color rgb="FFFFFFFF"/>
      <name val="Google Sans"/>
    </font>
    <font>
      <sz val="9.0"/>
      <color rgb="FF191E26"/>
      <name val="Google Sans"/>
    </font>
    <font>
      <b/>
      <sz val="9.0"/>
      <color rgb="FF147A38"/>
      <name val="Google Sans"/>
    </font>
    <font>
      <sz val="9.0"/>
      <color rgb="FF262D38"/>
      <name val="Google Sans"/>
    </font>
  </fonts>
  <fills count="8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EFF4F8"/>
        <bgColor rgb="FFEFF4F8"/>
      </patternFill>
    </fill>
    <fill>
      <patternFill patternType="solid">
        <fgColor rgb="FFFFFFFF"/>
        <bgColor rgb="FFFFFFFF"/>
      </patternFill>
    </fill>
    <fill>
      <patternFill patternType="solid">
        <fgColor rgb="FFF4F6FB"/>
        <bgColor rgb="FFF4F6FB"/>
      </patternFill>
    </fill>
    <fill>
      <patternFill patternType="solid">
        <fgColor rgb="FFD8EFE0"/>
        <bgColor rgb="FFD8EFE0"/>
      </patternFill>
    </fill>
    <fill>
      <patternFill patternType="solid">
        <fgColor rgb="FF2D3D59"/>
        <bgColor rgb="FF2D3D59"/>
      </patternFill>
    </fill>
  </fills>
  <borders count="28">
    <border/>
    <border>
      <left style="thin">
        <color rgb="FFC6D6E5"/>
      </left>
      <top style="thin">
        <color rgb="FFC6D6E5"/>
      </top>
    </border>
    <border>
      <right style="thin">
        <color rgb="FFC6D6E5"/>
      </right>
      <top style="thin">
        <color rgb="FFC6D6E5"/>
      </top>
    </border>
    <border>
      <left style="thin">
        <color rgb="FFC6D6E5"/>
      </left>
      <right style="thin">
        <color rgb="FFC6D6E5"/>
      </right>
      <top style="thin">
        <color rgb="FFC6D6E5"/>
      </top>
    </border>
    <border>
      <left style="thin">
        <color rgb="FFC6D6E5"/>
      </left>
    </border>
    <border>
      <right style="thin">
        <color rgb="FFC6D6E5"/>
      </right>
    </border>
    <border>
      <left style="thin">
        <color rgb="FFC6D6E5"/>
      </left>
      <right style="thin">
        <color rgb="FFC6D6E5"/>
      </right>
    </border>
    <border>
      <left style="thin">
        <color rgb="FFC6D6E5"/>
      </left>
      <bottom style="thin">
        <color rgb="FFC6D6E5"/>
      </bottom>
    </border>
    <border>
      <right style="thin">
        <color rgb="FFC6D6E5"/>
      </right>
      <bottom style="thin">
        <color rgb="FFC6D6E5"/>
      </bottom>
    </border>
    <border>
      <left style="thin">
        <color rgb="FFC6D6E5"/>
      </left>
      <right style="thin">
        <color rgb="FFC6D6E5"/>
      </right>
      <bottom style="thin">
        <color rgb="FFC6D6E5"/>
      </bottom>
    </border>
    <border>
      <left style="thin">
        <color rgb="FFC6D6E5"/>
      </left>
      <right style="thin">
        <color rgb="FFE0E8EF"/>
      </right>
      <top style="thin">
        <color rgb="FFC6D6E5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C6D6E5"/>
      </top>
      <bottom style="thin">
        <color rgb="FFE0E8EF"/>
      </bottom>
    </border>
    <border>
      <left style="thin">
        <color rgb="FFE0E8EF"/>
      </left>
      <right style="thin">
        <color rgb="FFC6D6E5"/>
      </right>
      <top style="thin">
        <color rgb="FFC6D6E5"/>
      </top>
      <bottom style="thin">
        <color rgb="FFE0E8EF"/>
      </bottom>
    </border>
    <border>
      <left style="thin">
        <color rgb="FFC6D6E5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C6D6E5"/>
      </right>
      <top style="thin">
        <color rgb="FFE0E8EF"/>
      </top>
      <bottom style="thin">
        <color rgb="FFE0E8EF"/>
      </bottom>
    </border>
    <border>
      <left style="thin">
        <color rgb="FFC6D6E5"/>
      </left>
      <right style="thin">
        <color rgb="FFE0E8EF"/>
      </right>
      <top style="thin">
        <color rgb="FFE0E8EF"/>
      </top>
      <bottom style="thin">
        <color rgb="FFC6D6E5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C6D6E5"/>
      </bottom>
    </border>
    <border>
      <left style="thin">
        <color rgb="FFE0E8EF"/>
      </left>
      <right style="thin">
        <color rgb="FFC6D6E5"/>
      </right>
      <top style="thin">
        <color rgb="FFE0E8EF"/>
      </top>
      <bottom style="thin">
        <color rgb="FFC6D6E5"/>
      </bottom>
    </border>
    <border>
      <left style="thin">
        <color rgb="FFC6D6E5"/>
      </left>
      <top style="thin">
        <color rgb="FFC6D6E5"/>
      </top>
      <bottom style="thin">
        <color rgb="FFE0E8EF"/>
      </bottom>
    </border>
    <border>
      <top style="thin">
        <color rgb="FFC6D6E5"/>
      </top>
      <bottom style="thin">
        <color rgb="FFE0E8EF"/>
      </bottom>
    </border>
    <border>
      <right style="thin">
        <color rgb="FFC6D6E5"/>
      </right>
      <top style="thin">
        <color rgb="FFC6D6E5"/>
      </top>
      <bottom style="thin">
        <color rgb="FFE0E8EF"/>
      </bottom>
    </border>
    <border>
      <left style="thin">
        <color rgb="FFE0E8EF"/>
      </left>
      <top style="thin">
        <color rgb="FFE0E8EF"/>
      </top>
      <bottom style="thin">
        <color rgb="FFE0E8EF"/>
      </bottom>
    </border>
    <border>
      <top style="thin">
        <color rgb="FFE0E8EF"/>
      </top>
      <bottom style="thin">
        <color rgb="FFE0E8EF"/>
      </bottom>
    </border>
    <border>
      <right style="thin">
        <color rgb="FFC6D6E5"/>
      </right>
      <top style="thin">
        <color rgb="FFE0E8EF"/>
      </top>
      <bottom style="thin">
        <color rgb="FFE0E8EF"/>
      </bottom>
    </border>
    <border>
      <left style="thin">
        <color rgb="FFE0E8EF"/>
      </left>
      <top style="thin">
        <color rgb="FFE0E8EF"/>
      </top>
      <bottom style="thin">
        <color rgb="FFC6D6E5"/>
      </bottom>
    </border>
    <border>
      <top style="thin">
        <color rgb="FFE0E8EF"/>
      </top>
      <bottom style="thin">
        <color rgb="FFC6D6E5"/>
      </bottom>
    </border>
    <border>
      <right style="thin">
        <color rgb="FFC6D6E5"/>
      </right>
      <top style="thin">
        <color rgb="FFE0E8EF"/>
      </top>
      <bottom style="thin">
        <color rgb="FFC6D6E5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2" fontId="4" numFmtId="0" xfId="0" applyAlignment="1" applyFill="1" applyFont="1">
      <alignment horizontal="center" readingOrder="0" shrinkToFit="0" vertical="center" wrapText="1"/>
    </xf>
    <xf borderId="2" fillId="0" fontId="5" numFmtId="0" xfId="0" applyBorder="1" applyFont="1"/>
    <xf borderId="0" fillId="3" fontId="6" numFmtId="0" xfId="0" applyAlignment="1" applyFill="1" applyFont="1">
      <alignment horizontal="center" readingOrder="0" vertical="center"/>
    </xf>
    <xf borderId="0" fillId="4" fontId="7" numFmtId="0" xfId="0" applyAlignment="1" applyFill="1" applyFont="1">
      <alignment readingOrder="0" shrinkToFit="0" vertical="center" wrapText="1"/>
    </xf>
    <xf borderId="3" fillId="3" fontId="2" numFmtId="0" xfId="0" applyAlignment="1" applyBorder="1" applyFill="1" applyFont="1">
      <alignment horizontal="center" readingOrder="0" vertical="center"/>
    </xf>
    <xf borderId="0" fillId="5" fontId="7" numFmtId="0" xfId="0" applyAlignment="1" applyFill="1" applyFont="1">
      <alignment readingOrder="0" shrinkToFit="0" vertical="center" wrapText="1"/>
    </xf>
    <xf borderId="0" fillId="3" fontId="8" numFmtId="0" xfId="0" applyAlignment="1" applyFill="1" applyFont="1">
      <alignment horizontal="center" vertical="center"/>
    </xf>
    <xf borderId="0" fillId="4" fontId="7" numFmtId="0" xfId="0" applyAlignment="1" applyFill="1" applyFont="1">
      <alignment horizontal="center" readingOrder="0" shrinkToFit="0" vertical="center" wrapText="1"/>
    </xf>
    <xf borderId="4" fillId="3" fontId="9" numFmtId="0" xfId="0" applyAlignment="1" applyBorder="1" applyFill="1" applyFont="1">
      <alignment horizontal="center" vertical="center"/>
    </xf>
    <xf borderId="5" fillId="0" fontId="5" numFmtId="0" xfId="0" applyBorder="1" applyFont="1"/>
    <xf borderId="0" fillId="5" fontId="7" numFmtId="0" xfId="0" applyAlignment="1" applyFill="1" applyFont="1">
      <alignment horizontal="center" readingOrder="0" shrinkToFit="0" vertical="center" wrapText="1"/>
    </xf>
    <xf borderId="0" fillId="5" fontId="7" numFmtId="164" xfId="0" applyAlignment="1" applyFill="1" applyFont="1" applyNumberFormat="1">
      <alignment readingOrder="0" shrinkToFit="0" vertical="center" wrapText="1"/>
    </xf>
    <xf borderId="0" fillId="3" fontId="10" numFmtId="0" xfId="0" applyAlignment="1" applyFill="1" applyFont="1">
      <alignment horizontal="center" readingOrder="0" vertical="center"/>
    </xf>
    <xf borderId="0" fillId="4" fontId="7" numFmtId="164" xfId="0" applyAlignment="1" applyFill="1" applyFont="1" applyNumberFormat="1">
      <alignment horizontal="center" readingOrder="0" shrinkToFit="0" vertical="center" wrapText="1"/>
    </xf>
    <xf borderId="0" fillId="4" fontId="7" numFmtId="0" xfId="0" applyAlignment="1" applyFill="1" applyFont="1">
      <alignment horizontal="left" readingOrder="0" shrinkToFit="0" vertical="center" wrapText="1"/>
    </xf>
    <xf borderId="6" fillId="3" fontId="9" numFmtId="0" xfId="0" applyAlignment="1" applyBorder="1" applyFill="1" applyFont="1">
      <alignment horizontal="center" vertical="center"/>
    </xf>
    <xf borderId="0" fillId="5" fontId="7" numFmtId="164" xfId="0" applyAlignment="1" applyFill="1" applyFont="1" applyNumberFormat="1">
      <alignment horizontal="center" readingOrder="0" shrinkToFit="0" vertical="center" wrapText="1"/>
    </xf>
    <xf borderId="7" fillId="3" fontId="11" numFmtId="0" xfId="0" applyAlignment="1" applyBorder="1" applyFill="1" applyFont="1">
      <alignment horizontal="center" readingOrder="0" vertical="center"/>
    </xf>
    <xf borderId="0" fillId="5" fontId="7" numFmtId="0" xfId="0" applyAlignment="1" applyFill="1" applyFont="1">
      <alignment horizontal="left" readingOrder="0" shrinkToFit="0" vertical="center" wrapText="1"/>
    </xf>
    <xf borderId="8" fillId="0" fontId="5" numFmtId="0" xfId="0" applyBorder="1" applyFont="1"/>
    <xf borderId="9" fillId="3" fontId="11" numFmtId="0" xfId="0" applyAlignment="1" applyBorder="1" applyFill="1" applyFont="1">
      <alignment horizontal="center" readingOrder="0" vertical="center"/>
    </xf>
    <xf borderId="10" fillId="2" fontId="12" numFmtId="0" xfId="0" applyAlignment="1" applyBorder="1" applyFill="1" applyFont="1">
      <alignment horizontal="center" readingOrder="0" shrinkToFit="0" vertical="center" wrapText="1"/>
    </xf>
    <xf borderId="11" fillId="2" fontId="12" numFmtId="0" xfId="0" applyAlignment="1" applyBorder="1" applyFill="1" applyFont="1">
      <alignment horizontal="center" readingOrder="0" shrinkToFit="0" vertical="center" wrapText="1"/>
    </xf>
    <xf borderId="12" fillId="2" fontId="12" numFmtId="0" xfId="0" applyAlignment="1" applyBorder="1" applyFill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14" fillId="0" fontId="13" numFmtId="0" xfId="0" applyAlignment="1" applyBorder="1" applyFont="1">
      <alignment readingOrder="0" shrinkToFit="0" vertical="center" wrapText="1"/>
    </xf>
    <xf borderId="14" fillId="0" fontId="13" numFmtId="0" xfId="0" applyAlignment="1" applyBorder="1" applyFont="1">
      <alignment shrinkToFit="0" vertical="center" wrapText="1"/>
    </xf>
    <xf borderId="14" fillId="0" fontId="13" numFmtId="0" xfId="0" applyAlignment="1" applyBorder="1" applyFont="1">
      <alignment horizontal="center" readingOrder="0" shrinkToFit="0" vertical="center" wrapText="1"/>
    </xf>
    <xf borderId="14" fillId="6" fontId="14" numFmtId="0" xfId="0" applyAlignment="1" applyBorder="1" applyFill="1" applyFont="1">
      <alignment horizontal="center" readingOrder="0" shrinkToFit="0" vertical="center" wrapText="1"/>
    </xf>
    <xf borderId="15" fillId="0" fontId="13" numFmtId="0" xfId="0" applyAlignment="1" applyBorder="1" applyFont="1">
      <alignment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7" fillId="0" fontId="13" numFmtId="0" xfId="0" applyAlignment="1" applyBorder="1" applyFont="1">
      <alignment readingOrder="0" shrinkToFit="0" vertical="center" wrapText="1"/>
    </xf>
    <xf borderId="17" fillId="0" fontId="13" numFmtId="0" xfId="0" applyAlignment="1" applyBorder="1" applyFont="1">
      <alignment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17" fillId="6" fontId="14" numFmtId="0" xfId="0" applyAlignment="1" applyBorder="1" applyFill="1" applyFont="1">
      <alignment horizontal="center" readingOrder="0" shrinkToFit="0" vertical="center" wrapText="1"/>
    </xf>
    <xf borderId="18" fillId="0" fontId="13" numFmtId="0" xfId="0" applyAlignment="1" applyBorder="1" applyFont="1">
      <alignment readingOrder="0" shrinkToFit="0" vertical="center" wrapText="1"/>
    </xf>
    <xf borderId="19" fillId="7" fontId="12" numFmtId="0" xfId="0" applyAlignment="1" applyBorder="1" applyFill="1" applyFont="1">
      <alignment horizontal="left" readingOrder="0" vertical="center"/>
    </xf>
    <xf borderId="20" fillId="0" fontId="5" numFmtId="0" xfId="0" applyBorder="1" applyFont="1"/>
    <xf borderId="21" fillId="0" fontId="5" numFmtId="0" xfId="0" applyBorder="1" applyFont="1"/>
    <xf borderId="13" fillId="3" fontId="2" numFmtId="0" xfId="0" applyAlignment="1" applyBorder="1" applyFill="1" applyFont="1">
      <alignment horizontal="center" readingOrder="0" shrinkToFit="0" vertical="center" wrapText="1"/>
    </xf>
    <xf borderId="22" fillId="4" fontId="15" numFmtId="0" xfId="0" applyAlignment="1" applyBorder="1" applyFill="1" applyFont="1">
      <alignment horizontal="left" readingOrder="0" shrinkToFit="0" vertical="center" wrapText="1"/>
    </xf>
    <xf borderId="23" fillId="0" fontId="5" numFmtId="0" xfId="0" applyBorder="1" applyFont="1"/>
    <xf borderId="24" fillId="0" fontId="5" numFmtId="0" xfId="0" applyBorder="1" applyFont="1"/>
    <xf borderId="16" fillId="3" fontId="2" numFmtId="0" xfId="0" applyAlignment="1" applyBorder="1" applyFill="1" applyFont="1">
      <alignment horizontal="center" readingOrder="0" shrinkToFit="0" vertical="center" wrapText="1"/>
    </xf>
    <xf borderId="25" fillId="4" fontId="15" numFmtId="0" xfId="0" applyAlignment="1" applyBorder="1" applyFill="1" applyFont="1">
      <alignment horizontal="left" readingOrder="0" shrinkToFit="0" vertical="center" wrapText="1"/>
    </xf>
    <xf borderId="26" fillId="0" fontId="5" numFmtId="0" xfId="0" applyBorder="1" applyFont="1"/>
    <xf borderId="27" fillId="0" fontId="5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7.0"/>
    <col customWidth="1" min="2" max="2" width="19.5"/>
    <col customWidth="1" min="3" max="3" width="20.75"/>
    <col customWidth="1" min="4" max="4" width="25.75"/>
    <col customWidth="1" min="5" max="5" width="23.25"/>
    <col customWidth="1" min="6" max="6" width="33.25"/>
    <col customWidth="1" min="7" max="7" width="15.75"/>
    <col customWidth="1" min="8" max="8" width="18.25"/>
    <col customWidth="1" min="9" max="9" width="17.0"/>
    <col customWidth="1" min="10" max="10" width="23.25"/>
    <col customWidth="1" min="11" max="11" width="24.5"/>
    <col customWidth="1" min="12" max="12" width="18.25"/>
    <col customWidth="1" min="13" max="13" width="19.5"/>
    <col customWidth="1" min="14" max="14" width="35.75"/>
    <col customWidth="1" min="15" max="15" width="19.5"/>
    <col customWidth="1" min="16" max="16" width="17.0"/>
    <col customWidth="1" min="17" max="17" width="37.0"/>
  </cols>
  <sheetData>
    <row r="1" ht="27.0" customHeight="1">
      <c r="A1" s="3" t="s">
        <v>2</v>
      </c>
    </row>
    <row r="2" ht="16.5" customHeight="1">
      <c r="B2" s="6" t="s">
        <v>1</v>
      </c>
      <c r="E2" s="6" t="s">
        <v>10</v>
      </c>
      <c r="H2" s="6" t="s">
        <v>13</v>
      </c>
      <c r="K2" s="6" t="s">
        <v>15</v>
      </c>
    </row>
    <row r="3" ht="22.5" customHeight="1">
      <c r="B3" s="10">
        <f>COUNTA(A7:A26)</f>
        <v>20</v>
      </c>
      <c r="E3" s="10">
        <f>IFERROR(__xludf.DUMMYFUNCTION("COUNTUNIQUE(I7:I26)"),11.0)</f>
        <v>11</v>
      </c>
      <c r="H3" s="10">
        <f>IFERROR(__xludf.DUMMYFUNCTION("COUNTUNIQUE(E7:E26)"),19.0)</f>
        <v>19</v>
      </c>
      <c r="K3" s="10" t="str">
        <f>COUNTIF(D7:D26,"ROLE_SYS_ADMIN")&amp;" Sys / "&amp;(COUNTA(D7:D26)-COUNTIF(D7:D26,"ROLE_SYS_ADMIN"))&amp;" User"</f>
        <v>5 Sys / 15 User</v>
      </c>
    </row>
    <row r="4" ht="15.0" customHeight="1">
      <c r="B4" s="16" t="s">
        <v>71</v>
      </c>
      <c r="E4" s="16" t="s">
        <v>74</v>
      </c>
      <c r="H4" s="16" t="s">
        <v>78</v>
      </c>
      <c r="K4" s="16" t="s">
        <v>81</v>
      </c>
    </row>
    <row r="6" ht="22.5" customHeight="1">
      <c r="A6" s="4" t="s">
        <v>24</v>
      </c>
      <c r="B6" s="4" t="s">
        <v>49</v>
      </c>
      <c r="C6" s="4" t="s">
        <v>69</v>
      </c>
      <c r="D6" s="4" t="s">
        <v>90</v>
      </c>
      <c r="E6" s="4" t="s">
        <v>96</v>
      </c>
      <c r="F6" s="4" t="s">
        <v>98</v>
      </c>
      <c r="G6" s="4" t="s">
        <v>101</v>
      </c>
      <c r="H6" s="4" t="s">
        <v>104</v>
      </c>
      <c r="I6" s="4" t="s">
        <v>107</v>
      </c>
      <c r="J6" s="4" t="s">
        <v>110</v>
      </c>
      <c r="K6" s="4" t="s">
        <v>112</v>
      </c>
      <c r="L6" s="4" t="s">
        <v>114</v>
      </c>
      <c r="M6" s="4" t="s">
        <v>116</v>
      </c>
      <c r="N6" s="4" t="s">
        <v>119</v>
      </c>
      <c r="O6" s="4" t="s">
        <v>121</v>
      </c>
      <c r="P6" s="4" t="s">
        <v>124</v>
      </c>
      <c r="Q6" s="4" t="s">
        <v>126</v>
      </c>
    </row>
    <row r="7">
      <c r="A7" s="11" t="s">
        <v>44</v>
      </c>
      <c r="B7" s="17">
        <v>46280.42675925926</v>
      </c>
      <c r="C7" s="11" t="s">
        <v>84</v>
      </c>
      <c r="D7" s="11" t="s">
        <v>103</v>
      </c>
      <c r="E7" s="11" t="s">
        <v>127</v>
      </c>
      <c r="F7" s="18" t="s">
        <v>130</v>
      </c>
      <c r="G7" s="11" t="s">
        <v>131</v>
      </c>
      <c r="H7" s="11" t="s">
        <v>133</v>
      </c>
      <c r="I7" s="11" t="s">
        <v>133</v>
      </c>
      <c r="J7" s="11" t="s">
        <v>134</v>
      </c>
      <c r="K7" s="11" t="s">
        <v>135</v>
      </c>
      <c r="L7" s="11" t="s">
        <v>134</v>
      </c>
      <c r="M7" s="11" t="s">
        <v>135</v>
      </c>
      <c r="N7" s="18" t="s">
        <v>136</v>
      </c>
      <c r="O7" s="11" t="s">
        <v>137</v>
      </c>
      <c r="P7" s="11" t="b">
        <v>1</v>
      </c>
      <c r="Q7" s="18" t="s">
        <v>139</v>
      </c>
    </row>
    <row r="8">
      <c r="A8" s="14" t="s">
        <v>140</v>
      </c>
      <c r="B8" s="20">
        <v>46280.44803240741</v>
      </c>
      <c r="C8" s="14" t="s">
        <v>142</v>
      </c>
      <c r="D8" s="14" t="s">
        <v>144</v>
      </c>
      <c r="E8" s="14" t="s">
        <v>145</v>
      </c>
      <c r="F8" s="22" t="s">
        <v>146</v>
      </c>
      <c r="G8" s="14" t="s">
        <v>147</v>
      </c>
      <c r="H8" s="14" t="s">
        <v>149</v>
      </c>
      <c r="I8" s="14" t="s">
        <v>133</v>
      </c>
      <c r="J8" s="14" t="s">
        <v>135</v>
      </c>
      <c r="K8" s="14" t="s">
        <v>151</v>
      </c>
      <c r="L8" s="14" t="s">
        <v>152</v>
      </c>
      <c r="M8" s="14" t="s">
        <v>154</v>
      </c>
      <c r="N8" s="22" t="s">
        <v>155</v>
      </c>
      <c r="O8" s="14" t="s">
        <v>157</v>
      </c>
      <c r="P8" s="14" t="b">
        <v>1</v>
      </c>
      <c r="Q8" s="22" t="s">
        <v>159</v>
      </c>
    </row>
    <row r="9">
      <c r="A9" s="11" t="s">
        <v>160</v>
      </c>
      <c r="B9" s="17">
        <v>46281.479166666664</v>
      </c>
      <c r="C9" s="11" t="s">
        <v>162</v>
      </c>
      <c r="D9" s="11" t="s">
        <v>163</v>
      </c>
      <c r="E9" s="11" t="s">
        <v>164</v>
      </c>
      <c r="F9" s="18" t="s">
        <v>166</v>
      </c>
      <c r="G9" s="11" t="s">
        <v>131</v>
      </c>
      <c r="H9" s="11" t="s">
        <v>133</v>
      </c>
      <c r="I9" s="11" t="s">
        <v>133</v>
      </c>
      <c r="J9" s="11" t="s">
        <v>151</v>
      </c>
      <c r="K9" s="11" t="s">
        <v>169</v>
      </c>
      <c r="L9" s="11" t="s">
        <v>135</v>
      </c>
      <c r="M9" s="11" t="s">
        <v>170</v>
      </c>
      <c r="N9" s="18" t="s">
        <v>172</v>
      </c>
      <c r="O9" s="11" t="s">
        <v>173</v>
      </c>
      <c r="P9" s="11" t="b">
        <v>1</v>
      </c>
      <c r="Q9" s="18" t="s">
        <v>174</v>
      </c>
    </row>
    <row r="10">
      <c r="A10" s="14" t="s">
        <v>176</v>
      </c>
      <c r="B10" s="20">
        <v>46287.593981481485</v>
      </c>
      <c r="C10" s="14" t="s">
        <v>179</v>
      </c>
      <c r="D10" s="14" t="s">
        <v>182</v>
      </c>
      <c r="E10" s="14" t="s">
        <v>184</v>
      </c>
      <c r="F10" s="22" t="s">
        <v>186</v>
      </c>
      <c r="G10" s="14" t="s">
        <v>131</v>
      </c>
      <c r="H10" s="14" t="s">
        <v>133</v>
      </c>
      <c r="I10" s="14" t="s">
        <v>133</v>
      </c>
      <c r="J10" s="14" t="s">
        <v>169</v>
      </c>
      <c r="K10" s="14" t="s">
        <v>188</v>
      </c>
      <c r="L10" s="14" t="s">
        <v>170</v>
      </c>
      <c r="M10" s="14" t="s">
        <v>189</v>
      </c>
      <c r="N10" s="22" t="s">
        <v>191</v>
      </c>
      <c r="O10" s="14" t="s">
        <v>192</v>
      </c>
      <c r="P10" s="14" t="b">
        <v>1</v>
      </c>
      <c r="Q10" s="22" t="s">
        <v>194</v>
      </c>
    </row>
    <row r="11">
      <c r="A11" s="11" t="s">
        <v>196</v>
      </c>
      <c r="B11" s="17">
        <v>46303.40295138889</v>
      </c>
      <c r="C11" s="11" t="s">
        <v>84</v>
      </c>
      <c r="D11" s="11" t="s">
        <v>103</v>
      </c>
      <c r="E11" s="11" t="s">
        <v>197</v>
      </c>
      <c r="F11" s="18" t="s">
        <v>198</v>
      </c>
      <c r="G11" s="11" t="s">
        <v>199</v>
      </c>
      <c r="H11" s="11" t="s">
        <v>200</v>
      </c>
      <c r="I11" s="11" t="s">
        <v>133</v>
      </c>
      <c r="J11" s="11" t="s">
        <v>188</v>
      </c>
      <c r="K11" s="11" t="s">
        <v>188</v>
      </c>
      <c r="L11" s="11" t="s">
        <v>201</v>
      </c>
      <c r="M11" s="11" t="s">
        <v>202</v>
      </c>
      <c r="N11" s="18" t="s">
        <v>203</v>
      </c>
      <c r="O11" s="11" t="s">
        <v>137</v>
      </c>
      <c r="P11" s="11" t="b">
        <v>1</v>
      </c>
      <c r="Q11" s="18" t="s">
        <v>206</v>
      </c>
    </row>
    <row r="12">
      <c r="A12" s="14" t="s">
        <v>207</v>
      </c>
      <c r="B12" s="20">
        <v>46309.416666666664</v>
      </c>
      <c r="C12" s="14" t="s">
        <v>209</v>
      </c>
      <c r="D12" s="14" t="s">
        <v>210</v>
      </c>
      <c r="E12" s="14" t="s">
        <v>211</v>
      </c>
      <c r="F12" s="22" t="s">
        <v>212</v>
      </c>
      <c r="G12" s="14" t="s">
        <v>131</v>
      </c>
      <c r="H12" s="14" t="s">
        <v>133</v>
      </c>
      <c r="I12" s="14" t="s">
        <v>133</v>
      </c>
      <c r="J12" s="14" t="s">
        <v>188</v>
      </c>
      <c r="K12" s="14" t="s">
        <v>213</v>
      </c>
      <c r="L12" s="14" t="s">
        <v>189</v>
      </c>
      <c r="M12" s="14" t="s">
        <v>215</v>
      </c>
      <c r="N12" s="22" t="s">
        <v>218</v>
      </c>
      <c r="O12" s="14" t="s">
        <v>220</v>
      </c>
      <c r="P12" s="14" t="b">
        <v>1</v>
      </c>
      <c r="Q12" s="22" t="s">
        <v>222</v>
      </c>
    </row>
    <row r="13">
      <c r="A13" s="11" t="s">
        <v>223</v>
      </c>
      <c r="B13" s="17">
        <v>46309.41668981482</v>
      </c>
      <c r="C13" s="11" t="s">
        <v>142</v>
      </c>
      <c r="D13" s="11" t="s">
        <v>144</v>
      </c>
      <c r="E13" s="11" t="s">
        <v>224</v>
      </c>
      <c r="F13" s="18" t="s">
        <v>225</v>
      </c>
      <c r="G13" s="11" t="s">
        <v>226</v>
      </c>
      <c r="H13" s="11" t="s">
        <v>227</v>
      </c>
      <c r="I13" s="11" t="s">
        <v>133</v>
      </c>
      <c r="J13" s="11" t="s">
        <v>213</v>
      </c>
      <c r="K13" s="11" t="s">
        <v>213</v>
      </c>
      <c r="L13" s="11" t="s">
        <v>229</v>
      </c>
      <c r="M13" s="11" t="s">
        <v>229</v>
      </c>
      <c r="N13" s="18" t="s">
        <v>230</v>
      </c>
      <c r="O13" s="11" t="s">
        <v>231</v>
      </c>
      <c r="P13" s="11" t="b">
        <v>1</v>
      </c>
      <c r="Q13" s="18" t="s">
        <v>232</v>
      </c>
    </row>
    <row r="14">
      <c r="A14" s="14" t="s">
        <v>234</v>
      </c>
      <c r="B14" s="20">
        <v>46313.479166666664</v>
      </c>
      <c r="C14" s="14" t="s">
        <v>179</v>
      </c>
      <c r="D14" s="14" t="s">
        <v>182</v>
      </c>
      <c r="E14" s="14" t="s">
        <v>235</v>
      </c>
      <c r="F14" s="22" t="s">
        <v>236</v>
      </c>
      <c r="G14" s="14" t="s">
        <v>131</v>
      </c>
      <c r="H14" s="14" t="s">
        <v>237</v>
      </c>
      <c r="I14" s="14" t="s">
        <v>237</v>
      </c>
      <c r="J14" s="14" t="s">
        <v>169</v>
      </c>
      <c r="K14" s="14" t="s">
        <v>238</v>
      </c>
      <c r="L14" s="14" t="s">
        <v>170</v>
      </c>
      <c r="M14" s="14" t="s">
        <v>240</v>
      </c>
      <c r="N14" s="22" t="s">
        <v>241</v>
      </c>
      <c r="O14" s="14" t="s">
        <v>173</v>
      </c>
      <c r="P14" s="14" t="b">
        <v>1</v>
      </c>
      <c r="Q14" s="22" t="s">
        <v>242</v>
      </c>
    </row>
    <row r="15">
      <c r="A15" s="11" t="s">
        <v>243</v>
      </c>
      <c r="B15" s="17">
        <v>46313.47922453703</v>
      </c>
      <c r="C15" s="11" t="s">
        <v>142</v>
      </c>
      <c r="D15" s="11" t="s">
        <v>144</v>
      </c>
      <c r="E15" s="11" t="s">
        <v>244</v>
      </c>
      <c r="F15" s="18" t="s">
        <v>245</v>
      </c>
      <c r="G15" s="11" t="s">
        <v>246</v>
      </c>
      <c r="H15" s="11" t="s">
        <v>248</v>
      </c>
      <c r="I15" s="11" t="s">
        <v>237</v>
      </c>
      <c r="J15" s="11" t="s">
        <v>238</v>
      </c>
      <c r="K15" s="11" t="s">
        <v>238</v>
      </c>
      <c r="L15" s="11" t="s">
        <v>253</v>
      </c>
      <c r="M15" s="11" t="s">
        <v>253</v>
      </c>
      <c r="N15" s="18" t="s">
        <v>255</v>
      </c>
      <c r="O15" s="11" t="s">
        <v>256</v>
      </c>
      <c r="P15" s="11" t="b">
        <v>1</v>
      </c>
      <c r="Q15" s="18" t="s">
        <v>257</v>
      </c>
    </row>
    <row r="16">
      <c r="A16" s="14" t="s">
        <v>258</v>
      </c>
      <c r="B16" s="20">
        <v>46317.631944444445</v>
      </c>
      <c r="C16" s="14" t="s">
        <v>84</v>
      </c>
      <c r="D16" s="14" t="s">
        <v>103</v>
      </c>
      <c r="E16" s="14" t="s">
        <v>259</v>
      </c>
      <c r="F16" s="22" t="s">
        <v>260</v>
      </c>
      <c r="G16" s="14" t="s">
        <v>199</v>
      </c>
      <c r="H16" s="14" t="s">
        <v>261</v>
      </c>
      <c r="I16" s="14" t="s">
        <v>237</v>
      </c>
      <c r="J16" s="14" t="s">
        <v>238</v>
      </c>
      <c r="K16" s="14" t="s">
        <v>262</v>
      </c>
      <c r="L16" s="14" t="s">
        <v>240</v>
      </c>
      <c r="M16" s="14" t="s">
        <v>263</v>
      </c>
      <c r="N16" s="22" t="s">
        <v>264</v>
      </c>
      <c r="O16" s="14" t="s">
        <v>137</v>
      </c>
      <c r="P16" s="14" t="b">
        <v>1</v>
      </c>
      <c r="Q16" s="22" t="s">
        <v>265</v>
      </c>
    </row>
    <row r="17">
      <c r="A17" s="11" t="s">
        <v>266</v>
      </c>
      <c r="B17" s="17">
        <v>46317.59722222222</v>
      </c>
      <c r="C17" s="11" t="s">
        <v>179</v>
      </c>
      <c r="D17" s="11" t="s">
        <v>182</v>
      </c>
      <c r="E17" s="11" t="s">
        <v>268</v>
      </c>
      <c r="F17" s="18" t="s">
        <v>270</v>
      </c>
      <c r="G17" s="11" t="s">
        <v>271</v>
      </c>
      <c r="H17" s="11" t="s">
        <v>273</v>
      </c>
      <c r="I17" s="11" t="s">
        <v>275</v>
      </c>
      <c r="J17" s="11" t="s">
        <v>169</v>
      </c>
      <c r="K17" s="11" t="s">
        <v>169</v>
      </c>
      <c r="L17" s="11" t="s">
        <v>277</v>
      </c>
      <c r="M17" s="11" t="s">
        <v>278</v>
      </c>
      <c r="N17" s="18" t="s">
        <v>279</v>
      </c>
      <c r="O17" s="11" t="s">
        <v>192</v>
      </c>
      <c r="P17" s="11" t="b">
        <v>1</v>
      </c>
      <c r="Q17" s="18" t="s">
        <v>280</v>
      </c>
    </row>
    <row r="18">
      <c r="A18" s="14" t="s">
        <v>281</v>
      </c>
      <c r="B18" s="20">
        <v>46316.697916666664</v>
      </c>
      <c r="C18" s="14" t="s">
        <v>209</v>
      </c>
      <c r="D18" s="14" t="s">
        <v>210</v>
      </c>
      <c r="E18" s="14" t="s">
        <v>282</v>
      </c>
      <c r="F18" s="22" t="s">
        <v>283</v>
      </c>
      <c r="G18" s="14" t="s">
        <v>131</v>
      </c>
      <c r="H18" s="14" t="s">
        <v>284</v>
      </c>
      <c r="I18" s="14" t="s">
        <v>284</v>
      </c>
      <c r="J18" s="14" t="s">
        <v>285</v>
      </c>
      <c r="K18" s="14" t="s">
        <v>286</v>
      </c>
      <c r="L18" s="14" t="s">
        <v>287</v>
      </c>
      <c r="M18" s="14" t="s">
        <v>288</v>
      </c>
      <c r="N18" s="22" t="s">
        <v>289</v>
      </c>
      <c r="O18" s="14" t="s">
        <v>173</v>
      </c>
      <c r="P18" s="14" t="b">
        <v>1</v>
      </c>
      <c r="Q18" s="22" t="s">
        <v>290</v>
      </c>
    </row>
    <row r="19">
      <c r="A19" s="11" t="s">
        <v>291</v>
      </c>
      <c r="B19" s="17">
        <v>46319.6875</v>
      </c>
      <c r="C19" s="11" t="s">
        <v>179</v>
      </c>
      <c r="D19" s="11" t="s">
        <v>182</v>
      </c>
      <c r="E19" s="11" t="s">
        <v>292</v>
      </c>
      <c r="F19" s="18" t="s">
        <v>293</v>
      </c>
      <c r="G19" s="11" t="s">
        <v>199</v>
      </c>
      <c r="H19" s="11" t="s">
        <v>294</v>
      </c>
      <c r="I19" s="11" t="s">
        <v>295</v>
      </c>
      <c r="J19" s="11" t="s">
        <v>238</v>
      </c>
      <c r="K19" s="11" t="s">
        <v>238</v>
      </c>
      <c r="L19" s="11" t="s">
        <v>263</v>
      </c>
      <c r="M19" s="11" t="s">
        <v>296</v>
      </c>
      <c r="N19" s="18" t="s">
        <v>297</v>
      </c>
      <c r="O19" s="11" t="s">
        <v>192</v>
      </c>
      <c r="P19" s="11" t="b">
        <v>1</v>
      </c>
      <c r="Q19" s="18" t="s">
        <v>299</v>
      </c>
    </row>
    <row r="20">
      <c r="A20" s="14" t="s">
        <v>300</v>
      </c>
      <c r="B20" s="20">
        <v>46319.99930555555</v>
      </c>
      <c r="C20" s="14" t="s">
        <v>142</v>
      </c>
      <c r="D20" s="14" t="s">
        <v>144</v>
      </c>
      <c r="E20" s="14" t="s">
        <v>304</v>
      </c>
      <c r="F20" s="22" t="s">
        <v>306</v>
      </c>
      <c r="G20" s="14" t="s">
        <v>246</v>
      </c>
      <c r="H20" s="14" t="s">
        <v>307</v>
      </c>
      <c r="I20" s="14" t="s">
        <v>308</v>
      </c>
      <c r="J20" s="14" t="s">
        <v>238</v>
      </c>
      <c r="K20" s="14" t="s">
        <v>286</v>
      </c>
      <c r="L20" s="14" t="s">
        <v>309</v>
      </c>
      <c r="M20" s="14" t="s">
        <v>310</v>
      </c>
      <c r="N20" s="22" t="s">
        <v>311</v>
      </c>
      <c r="O20" s="14" t="s">
        <v>220</v>
      </c>
      <c r="P20" s="14" t="b">
        <v>1</v>
      </c>
      <c r="Q20" s="22" t="s">
        <v>312</v>
      </c>
    </row>
    <row r="21">
      <c r="A21" s="11" t="s">
        <v>313</v>
      </c>
      <c r="B21" s="17">
        <v>46320.354166666664</v>
      </c>
      <c r="C21" s="11" t="s">
        <v>142</v>
      </c>
      <c r="D21" s="11" t="s">
        <v>144</v>
      </c>
      <c r="E21" s="11" t="s">
        <v>224</v>
      </c>
      <c r="F21" s="18" t="s">
        <v>314</v>
      </c>
      <c r="G21" s="11" t="s">
        <v>226</v>
      </c>
      <c r="H21" s="11" t="s">
        <v>316</v>
      </c>
      <c r="I21" s="11" t="s">
        <v>308</v>
      </c>
      <c r="J21" s="11" t="s">
        <v>286</v>
      </c>
      <c r="K21" s="11" t="s">
        <v>286</v>
      </c>
      <c r="L21" s="11" t="s">
        <v>310</v>
      </c>
      <c r="M21" s="11" t="s">
        <v>321</v>
      </c>
      <c r="N21" s="18" t="s">
        <v>322</v>
      </c>
      <c r="O21" s="11" t="s">
        <v>231</v>
      </c>
      <c r="P21" s="11" t="b">
        <v>1</v>
      </c>
      <c r="Q21" s="18" t="s">
        <v>323</v>
      </c>
    </row>
    <row r="22">
      <c r="A22" s="14" t="s">
        <v>324</v>
      </c>
      <c r="B22" s="20">
        <v>46295.729166666664</v>
      </c>
      <c r="C22" s="14" t="s">
        <v>325</v>
      </c>
      <c r="D22" s="14" t="s">
        <v>326</v>
      </c>
      <c r="E22" s="14" t="s">
        <v>327</v>
      </c>
      <c r="F22" s="22" t="s">
        <v>328</v>
      </c>
      <c r="G22" s="14" t="s">
        <v>131</v>
      </c>
      <c r="H22" s="14" t="s">
        <v>329</v>
      </c>
      <c r="I22" s="14" t="s">
        <v>329</v>
      </c>
      <c r="J22" s="14" t="s">
        <v>330</v>
      </c>
      <c r="K22" s="14" t="s">
        <v>331</v>
      </c>
      <c r="L22" s="14" t="s">
        <v>332</v>
      </c>
      <c r="M22" s="14" t="s">
        <v>334</v>
      </c>
      <c r="N22" s="22" t="s">
        <v>335</v>
      </c>
      <c r="O22" s="14" t="s">
        <v>336</v>
      </c>
      <c r="P22" s="14" t="b">
        <v>1</v>
      </c>
      <c r="Q22" s="22" t="s">
        <v>338</v>
      </c>
    </row>
    <row r="23">
      <c r="A23" s="11" t="s">
        <v>340</v>
      </c>
      <c r="B23" s="17">
        <v>46296.666666666664</v>
      </c>
      <c r="C23" s="11" t="s">
        <v>325</v>
      </c>
      <c r="D23" s="11" t="s">
        <v>326</v>
      </c>
      <c r="E23" s="11" t="s">
        <v>343</v>
      </c>
      <c r="F23" s="18" t="s">
        <v>344</v>
      </c>
      <c r="G23" s="11" t="s">
        <v>131</v>
      </c>
      <c r="H23" s="11" t="s">
        <v>345</v>
      </c>
      <c r="I23" s="11" t="s">
        <v>345</v>
      </c>
      <c r="J23" s="11" t="s">
        <v>330</v>
      </c>
      <c r="K23" s="11" t="s">
        <v>331</v>
      </c>
      <c r="L23" s="11" t="s">
        <v>332</v>
      </c>
      <c r="M23" s="11" t="s">
        <v>334</v>
      </c>
      <c r="N23" s="18" t="s">
        <v>346</v>
      </c>
      <c r="O23" s="11" t="s">
        <v>336</v>
      </c>
      <c r="P23" s="11" t="b">
        <v>1</v>
      </c>
      <c r="Q23" s="18" t="s">
        <v>347</v>
      </c>
    </row>
    <row r="24">
      <c r="A24" s="14" t="s">
        <v>348</v>
      </c>
      <c r="B24" s="20">
        <v>46300.666666666664</v>
      </c>
      <c r="C24" s="14" t="s">
        <v>325</v>
      </c>
      <c r="D24" s="14" t="s">
        <v>326</v>
      </c>
      <c r="E24" s="14" t="s">
        <v>349</v>
      </c>
      <c r="F24" s="22" t="s">
        <v>350</v>
      </c>
      <c r="G24" s="14" t="s">
        <v>131</v>
      </c>
      <c r="H24" s="14" t="s">
        <v>352</v>
      </c>
      <c r="I24" s="14" t="s">
        <v>352</v>
      </c>
      <c r="J24" s="14" t="s">
        <v>330</v>
      </c>
      <c r="K24" s="14" t="s">
        <v>354</v>
      </c>
      <c r="L24" s="14" t="s">
        <v>332</v>
      </c>
      <c r="M24" s="14" t="s">
        <v>354</v>
      </c>
      <c r="N24" s="22" t="s">
        <v>356</v>
      </c>
      <c r="O24" s="14" t="s">
        <v>336</v>
      </c>
      <c r="P24" s="14" t="b">
        <v>1</v>
      </c>
      <c r="Q24" s="22" t="s">
        <v>357</v>
      </c>
    </row>
    <row r="25">
      <c r="A25" s="11" t="s">
        <v>358</v>
      </c>
      <c r="B25" s="17">
        <v>46293.645833333336</v>
      </c>
      <c r="C25" s="11" t="s">
        <v>84</v>
      </c>
      <c r="D25" s="11" t="s">
        <v>103</v>
      </c>
      <c r="E25" s="11" t="s">
        <v>360</v>
      </c>
      <c r="F25" s="18" t="s">
        <v>361</v>
      </c>
      <c r="G25" s="11" t="s">
        <v>131</v>
      </c>
      <c r="H25" s="11" t="s">
        <v>362</v>
      </c>
      <c r="I25" s="11" t="s">
        <v>362</v>
      </c>
      <c r="J25" s="11" t="s">
        <v>169</v>
      </c>
      <c r="K25" s="11" t="s">
        <v>364</v>
      </c>
      <c r="L25" s="11" t="s">
        <v>170</v>
      </c>
      <c r="M25" s="11" t="s">
        <v>364</v>
      </c>
      <c r="N25" s="18" t="s">
        <v>365</v>
      </c>
      <c r="O25" s="11" t="s">
        <v>137</v>
      </c>
      <c r="P25" s="11" t="b">
        <v>1</v>
      </c>
      <c r="Q25" s="18" t="s">
        <v>366</v>
      </c>
    </row>
    <row r="26">
      <c r="A26" s="14" t="s">
        <v>367</v>
      </c>
      <c r="B26" s="20">
        <v>46254.416666666664</v>
      </c>
      <c r="C26" s="14" t="s">
        <v>325</v>
      </c>
      <c r="D26" s="14" t="s">
        <v>326</v>
      </c>
      <c r="E26" s="14" t="s">
        <v>369</v>
      </c>
      <c r="F26" s="22" t="s">
        <v>370</v>
      </c>
      <c r="G26" s="14" t="s">
        <v>131</v>
      </c>
      <c r="H26" s="14" t="s">
        <v>371</v>
      </c>
      <c r="I26" s="14" t="s">
        <v>371</v>
      </c>
      <c r="J26" s="14" t="s">
        <v>330</v>
      </c>
      <c r="K26" s="14" t="s">
        <v>373</v>
      </c>
      <c r="L26" s="14" t="s">
        <v>374</v>
      </c>
      <c r="M26" s="14" t="s">
        <v>373</v>
      </c>
      <c r="N26" s="22" t="s">
        <v>375</v>
      </c>
      <c r="O26" s="14" t="s">
        <v>173</v>
      </c>
      <c r="P26" s="14" t="b">
        <v>1</v>
      </c>
      <c r="Q26" s="22" t="s">
        <v>377</v>
      </c>
    </row>
  </sheetData>
  <autoFilter ref="$A$6:$Q$26"/>
  <mergeCells count="13">
    <mergeCell ref="H3:J3"/>
    <mergeCell ref="K3:M3"/>
    <mergeCell ref="B4:D4"/>
    <mergeCell ref="E4:G4"/>
    <mergeCell ref="H4:J4"/>
    <mergeCell ref="K4:M4"/>
    <mergeCell ref="A1:Q1"/>
    <mergeCell ref="B2:D2"/>
    <mergeCell ref="E2:G2"/>
    <mergeCell ref="H2:J2"/>
    <mergeCell ref="K2:M2"/>
    <mergeCell ref="B3:D3"/>
    <mergeCell ref="E3:G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75"/>
    <col customWidth="1" min="3" max="3" width="17.0"/>
    <col customWidth="1" min="4" max="4" width="29.5"/>
    <col customWidth="1" min="5" max="5" width="13.25"/>
    <col customWidth="1" min="6" max="6" width="23.25"/>
    <col customWidth="1" min="7" max="7" width="50.13"/>
  </cols>
  <sheetData>
    <row r="1">
      <c r="A1" s="4" t="s">
        <v>3</v>
      </c>
      <c r="B1" s="4" t="s">
        <v>11</v>
      </c>
      <c r="C1" s="4" t="s">
        <v>14</v>
      </c>
      <c r="D1" s="4" t="s">
        <v>16</v>
      </c>
      <c r="E1" s="4" t="s">
        <v>18</v>
      </c>
      <c r="F1" s="4" t="s">
        <v>20</v>
      </c>
      <c r="G1" s="4" t="s">
        <v>22</v>
      </c>
    </row>
    <row r="2">
      <c r="A2" s="7" t="s">
        <v>24</v>
      </c>
      <c r="B2" s="7" t="s">
        <v>26</v>
      </c>
      <c r="C2" s="7" t="s">
        <v>31</v>
      </c>
      <c r="D2" s="7" t="s">
        <v>33</v>
      </c>
      <c r="E2" s="11" t="s">
        <v>37</v>
      </c>
      <c r="F2" s="7" t="s">
        <v>44</v>
      </c>
      <c r="G2" s="7" t="s">
        <v>47</v>
      </c>
    </row>
    <row r="3">
      <c r="A3" s="9" t="s">
        <v>49</v>
      </c>
      <c r="B3" s="9" t="s">
        <v>52</v>
      </c>
      <c r="C3" s="9" t="s">
        <v>54</v>
      </c>
      <c r="D3" s="9" t="s">
        <v>33</v>
      </c>
      <c r="E3" s="14" t="s">
        <v>37</v>
      </c>
      <c r="F3" s="15">
        <v>46280.42675925926</v>
      </c>
      <c r="G3" s="9" t="s">
        <v>66</v>
      </c>
    </row>
    <row r="4">
      <c r="A4" s="7" t="s">
        <v>69</v>
      </c>
      <c r="B4" s="7" t="s">
        <v>26</v>
      </c>
      <c r="C4" s="7" t="s">
        <v>75</v>
      </c>
      <c r="D4" s="7" t="s">
        <v>79</v>
      </c>
      <c r="E4" s="11" t="s">
        <v>37</v>
      </c>
      <c r="F4" s="7" t="s">
        <v>84</v>
      </c>
      <c r="G4" s="7" t="s">
        <v>87</v>
      </c>
    </row>
    <row r="5">
      <c r="A5" s="9" t="s">
        <v>90</v>
      </c>
      <c r="B5" s="9" t="s">
        <v>93</v>
      </c>
      <c r="C5" s="9" t="s">
        <v>75</v>
      </c>
      <c r="D5" s="9" t="s">
        <v>97</v>
      </c>
      <c r="E5" s="14" t="s">
        <v>37</v>
      </c>
      <c r="F5" s="9" t="s">
        <v>103</v>
      </c>
      <c r="G5" s="9" t="s">
        <v>108</v>
      </c>
    </row>
    <row r="6">
      <c r="A6" s="7" t="s">
        <v>96</v>
      </c>
      <c r="B6" s="7" t="s">
        <v>93</v>
      </c>
      <c r="C6" s="7" t="s">
        <v>54</v>
      </c>
      <c r="D6" s="7" t="s">
        <v>33</v>
      </c>
      <c r="E6" s="11" t="s">
        <v>37</v>
      </c>
      <c r="F6" s="7" t="s">
        <v>127</v>
      </c>
      <c r="G6" s="7" t="s">
        <v>128</v>
      </c>
    </row>
    <row r="7">
      <c r="A7" s="9" t="s">
        <v>98</v>
      </c>
      <c r="B7" s="9" t="s">
        <v>129</v>
      </c>
      <c r="C7" s="9" t="s">
        <v>54</v>
      </c>
      <c r="D7" s="9" t="s">
        <v>33</v>
      </c>
      <c r="E7" s="14" t="s">
        <v>37</v>
      </c>
      <c r="F7" s="9" t="s">
        <v>130</v>
      </c>
      <c r="G7" s="9" t="s">
        <v>132</v>
      </c>
    </row>
    <row r="8">
      <c r="A8" s="7" t="s">
        <v>101</v>
      </c>
      <c r="B8" s="7" t="s">
        <v>93</v>
      </c>
      <c r="C8" s="7" t="s">
        <v>54</v>
      </c>
      <c r="D8" s="7" t="s">
        <v>33</v>
      </c>
      <c r="E8" s="11" t="s">
        <v>37</v>
      </c>
      <c r="F8" s="7" t="s">
        <v>131</v>
      </c>
      <c r="G8" s="7" t="s">
        <v>138</v>
      </c>
    </row>
    <row r="9">
      <c r="A9" s="9" t="s">
        <v>104</v>
      </c>
      <c r="B9" s="9" t="s">
        <v>26</v>
      </c>
      <c r="C9" s="9" t="s">
        <v>75</v>
      </c>
      <c r="D9" s="9" t="s">
        <v>143</v>
      </c>
      <c r="E9" s="14" t="s">
        <v>37</v>
      </c>
      <c r="F9" s="9" t="s">
        <v>133</v>
      </c>
      <c r="G9" s="9" t="s">
        <v>148</v>
      </c>
    </row>
    <row r="10">
      <c r="A10" s="7" t="s">
        <v>107</v>
      </c>
      <c r="B10" s="7" t="s">
        <v>26</v>
      </c>
      <c r="C10" s="7" t="s">
        <v>75</v>
      </c>
      <c r="D10" s="7" t="s">
        <v>156</v>
      </c>
      <c r="E10" s="11" t="s">
        <v>37</v>
      </c>
      <c r="F10" s="7" t="s">
        <v>133</v>
      </c>
      <c r="G10" s="7" t="s">
        <v>161</v>
      </c>
    </row>
    <row r="11">
      <c r="A11" s="9" t="s">
        <v>110</v>
      </c>
      <c r="B11" s="9" t="s">
        <v>93</v>
      </c>
      <c r="C11" s="9" t="s">
        <v>75</v>
      </c>
      <c r="D11" s="9" t="s">
        <v>167</v>
      </c>
      <c r="E11" s="14" t="s">
        <v>168</v>
      </c>
      <c r="F11" s="9" t="s">
        <v>134</v>
      </c>
      <c r="G11" s="9" t="s">
        <v>171</v>
      </c>
    </row>
    <row r="12">
      <c r="A12" s="7" t="s">
        <v>112</v>
      </c>
      <c r="B12" s="7" t="s">
        <v>93</v>
      </c>
      <c r="C12" s="7" t="s">
        <v>75</v>
      </c>
      <c r="D12" s="7" t="s">
        <v>167</v>
      </c>
      <c r="E12" s="11" t="s">
        <v>37</v>
      </c>
      <c r="F12" s="7" t="s">
        <v>135</v>
      </c>
      <c r="G12" s="7" t="s">
        <v>183</v>
      </c>
    </row>
    <row r="13">
      <c r="A13" s="9" t="s">
        <v>114</v>
      </c>
      <c r="B13" s="9" t="s">
        <v>93</v>
      </c>
      <c r="C13" s="9" t="s">
        <v>54</v>
      </c>
      <c r="D13" s="9" t="s">
        <v>33</v>
      </c>
      <c r="E13" s="14" t="s">
        <v>168</v>
      </c>
      <c r="F13" s="9" t="s">
        <v>134</v>
      </c>
      <c r="G13" s="9" t="s">
        <v>195</v>
      </c>
    </row>
    <row r="14">
      <c r="A14" s="7" t="s">
        <v>116</v>
      </c>
      <c r="B14" s="7" t="s">
        <v>93</v>
      </c>
      <c r="C14" s="7" t="s">
        <v>54</v>
      </c>
      <c r="D14" s="7" t="s">
        <v>33</v>
      </c>
      <c r="E14" s="11" t="s">
        <v>37</v>
      </c>
      <c r="F14" s="7" t="s">
        <v>135</v>
      </c>
      <c r="G14" s="7" t="s">
        <v>205</v>
      </c>
    </row>
    <row r="15">
      <c r="A15" s="9" t="s">
        <v>119</v>
      </c>
      <c r="B15" s="9" t="s">
        <v>129</v>
      </c>
      <c r="C15" s="9" t="s">
        <v>54</v>
      </c>
      <c r="D15" s="9" t="s">
        <v>33</v>
      </c>
      <c r="E15" s="14" t="s">
        <v>168</v>
      </c>
      <c r="F15" s="9" t="s">
        <v>136</v>
      </c>
      <c r="G15" s="9" t="s">
        <v>216</v>
      </c>
    </row>
    <row r="16">
      <c r="A16" s="7" t="s">
        <v>121</v>
      </c>
      <c r="B16" s="7" t="s">
        <v>93</v>
      </c>
      <c r="C16" s="7" t="s">
        <v>54</v>
      </c>
      <c r="D16" s="7" t="s">
        <v>33</v>
      </c>
      <c r="E16" s="11" t="s">
        <v>37</v>
      </c>
      <c r="F16" s="7" t="s">
        <v>137</v>
      </c>
      <c r="G16" s="7" t="s">
        <v>228</v>
      </c>
    </row>
    <row r="17">
      <c r="A17" s="9" t="s">
        <v>124</v>
      </c>
      <c r="B17" s="9" t="s">
        <v>233</v>
      </c>
      <c r="C17" s="9" t="s">
        <v>54</v>
      </c>
      <c r="D17" s="9" t="s">
        <v>33</v>
      </c>
      <c r="E17" s="14" t="s">
        <v>37</v>
      </c>
      <c r="F17" s="9" t="b">
        <v>1</v>
      </c>
      <c r="G17" s="9" t="s">
        <v>239</v>
      </c>
    </row>
    <row r="18">
      <c r="A18" s="7" t="s">
        <v>126</v>
      </c>
      <c r="B18" s="7" t="s">
        <v>129</v>
      </c>
      <c r="C18" s="7" t="s">
        <v>54</v>
      </c>
      <c r="D18" s="7" t="s">
        <v>33</v>
      </c>
      <c r="E18" s="11" t="s">
        <v>168</v>
      </c>
      <c r="F18" s="7" t="s">
        <v>139</v>
      </c>
      <c r="G18" s="7" t="s">
        <v>250</v>
      </c>
    </row>
  </sheetData>
  <autoFilter ref="$A$1:$G$1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23.25"/>
    <col customWidth="1" min="3" max="3" width="30.75"/>
    <col customWidth="1" min="4" max="4" width="60.13"/>
  </cols>
  <sheetData>
    <row r="1">
      <c r="A1" s="4" t="s">
        <v>4</v>
      </c>
      <c r="B1" s="4" t="s">
        <v>5</v>
      </c>
      <c r="C1" s="4" t="s">
        <v>6</v>
      </c>
      <c r="D1" s="4" t="s">
        <v>8</v>
      </c>
    </row>
    <row r="2">
      <c r="A2" s="7" t="s">
        <v>9</v>
      </c>
      <c r="B2" s="7" t="s">
        <v>19</v>
      </c>
      <c r="C2" s="7" t="s">
        <v>21</v>
      </c>
      <c r="D2" s="7" t="s">
        <v>23</v>
      </c>
    </row>
    <row r="3">
      <c r="A3" s="9" t="s">
        <v>9</v>
      </c>
      <c r="B3" s="9" t="s">
        <v>25</v>
      </c>
      <c r="C3" s="9" t="s">
        <v>27</v>
      </c>
      <c r="D3" s="9" t="s">
        <v>28</v>
      </c>
    </row>
    <row r="4">
      <c r="A4" s="7" t="s">
        <v>9</v>
      </c>
      <c r="B4" s="7" t="s">
        <v>29</v>
      </c>
      <c r="C4" s="7" t="s">
        <v>30</v>
      </c>
      <c r="D4" s="7" t="s">
        <v>32</v>
      </c>
    </row>
    <row r="5">
      <c r="A5" s="9" t="s">
        <v>34</v>
      </c>
      <c r="B5" s="9" t="s">
        <v>35</v>
      </c>
      <c r="C5" s="9" t="s">
        <v>36</v>
      </c>
      <c r="D5" s="9" t="s">
        <v>38</v>
      </c>
    </row>
    <row r="6">
      <c r="A6" s="7" t="s">
        <v>34</v>
      </c>
      <c r="B6" s="7" t="s">
        <v>39</v>
      </c>
      <c r="C6" s="7" t="s">
        <v>40</v>
      </c>
      <c r="D6" s="7" t="s">
        <v>41</v>
      </c>
    </row>
    <row r="7">
      <c r="A7" s="9" t="s">
        <v>34</v>
      </c>
      <c r="B7" s="9" t="s">
        <v>42</v>
      </c>
      <c r="C7" s="9" t="s">
        <v>43</v>
      </c>
      <c r="D7" s="9" t="s">
        <v>45</v>
      </c>
    </row>
    <row r="8">
      <c r="A8" s="7" t="s">
        <v>46</v>
      </c>
      <c r="B8" s="7" t="s">
        <v>48</v>
      </c>
      <c r="C8" s="7" t="s">
        <v>50</v>
      </c>
      <c r="D8" s="7" t="s">
        <v>51</v>
      </c>
    </row>
    <row r="9">
      <c r="A9" s="9" t="s">
        <v>46</v>
      </c>
      <c r="B9" s="9" t="s">
        <v>53</v>
      </c>
      <c r="C9" s="9" t="s">
        <v>55</v>
      </c>
      <c r="D9" s="9" t="s">
        <v>56</v>
      </c>
    </row>
    <row r="10">
      <c r="A10" s="7" t="s">
        <v>57</v>
      </c>
      <c r="B10" s="7" t="s">
        <v>58</v>
      </c>
      <c r="C10" s="7" t="s">
        <v>59</v>
      </c>
      <c r="D10" s="7" t="s">
        <v>60</v>
      </c>
    </row>
    <row r="11">
      <c r="A11" s="9" t="s">
        <v>57</v>
      </c>
      <c r="B11" s="9" t="s">
        <v>61</v>
      </c>
      <c r="C11" s="9" t="s">
        <v>62</v>
      </c>
      <c r="D11" s="9" t="s">
        <v>63</v>
      </c>
    </row>
    <row r="12">
      <c r="A12" s="7" t="s">
        <v>64</v>
      </c>
      <c r="B12" s="7" t="s">
        <v>65</v>
      </c>
      <c r="C12" s="7" t="s">
        <v>67</v>
      </c>
      <c r="D12" s="7" t="s">
        <v>68</v>
      </c>
    </row>
    <row r="13">
      <c r="A13" s="9" t="s">
        <v>64</v>
      </c>
      <c r="B13" s="9" t="s">
        <v>70</v>
      </c>
      <c r="C13" s="9" t="s">
        <v>72</v>
      </c>
      <c r="D13" s="9" t="s">
        <v>73</v>
      </c>
    </row>
    <row r="14">
      <c r="A14" s="7" t="s">
        <v>64</v>
      </c>
      <c r="B14" s="7" t="s">
        <v>76</v>
      </c>
      <c r="C14" s="7" t="s">
        <v>77</v>
      </c>
      <c r="D14" s="7" t="s">
        <v>80</v>
      </c>
    </row>
    <row r="15">
      <c r="A15" s="9" t="s">
        <v>64</v>
      </c>
      <c r="B15" s="9" t="s">
        <v>82</v>
      </c>
      <c r="C15" s="9" t="s">
        <v>83</v>
      </c>
      <c r="D15" s="9" t="s">
        <v>85</v>
      </c>
    </row>
    <row r="16">
      <c r="A16" s="7" t="s">
        <v>64</v>
      </c>
      <c r="B16" s="7" t="s">
        <v>86</v>
      </c>
      <c r="C16" s="7" t="s">
        <v>88</v>
      </c>
      <c r="D16" s="7" t="s">
        <v>89</v>
      </c>
    </row>
    <row r="17">
      <c r="A17" s="9" t="s">
        <v>91</v>
      </c>
      <c r="B17" s="9" t="s">
        <v>92</v>
      </c>
      <c r="C17" s="9" t="s">
        <v>94</v>
      </c>
      <c r="D17" s="9" t="s">
        <v>95</v>
      </c>
    </row>
    <row r="18">
      <c r="A18" s="7" t="s">
        <v>91</v>
      </c>
      <c r="B18" s="7" t="s">
        <v>99</v>
      </c>
      <c r="C18" s="7" t="s">
        <v>100</v>
      </c>
      <c r="D18" s="7" t="s">
        <v>102</v>
      </c>
    </row>
    <row r="19">
      <c r="A19" s="9" t="s">
        <v>105</v>
      </c>
      <c r="B19" s="9" t="s">
        <v>106</v>
      </c>
      <c r="C19" s="9" t="s">
        <v>109</v>
      </c>
      <c r="D19" s="9" t="s">
        <v>111</v>
      </c>
    </row>
    <row r="20">
      <c r="A20" s="7" t="s">
        <v>113</v>
      </c>
      <c r="B20" s="7" t="s">
        <v>115</v>
      </c>
      <c r="C20" s="7" t="s">
        <v>117</v>
      </c>
      <c r="D20" s="7" t="s">
        <v>118</v>
      </c>
    </row>
    <row r="21">
      <c r="A21" s="9" t="s">
        <v>120</v>
      </c>
      <c r="B21" s="9" t="s">
        <v>122</v>
      </c>
      <c r="C21" s="9" t="s">
        <v>123</v>
      </c>
      <c r="D21" s="9" t="s">
        <v>125</v>
      </c>
    </row>
  </sheetData>
  <autoFilter ref="$A$1:$D$2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6.38"/>
    <col customWidth="1" min="2" max="2" width="22.63"/>
    <col customWidth="1" min="3" max="3" width="40.13"/>
    <col customWidth="1" min="4" max="4" width="30.13"/>
    <col customWidth="1" min="5" max="5" width="20.13"/>
    <col customWidth="1" min="6" max="6" width="16.38"/>
    <col customWidth="1" min="7" max="7" width="45.13"/>
  </cols>
  <sheetData>
    <row r="1" ht="30.0" customHeight="1">
      <c r="A1" s="1" t="s">
        <v>0</v>
      </c>
    </row>
    <row r="2" ht="19.5" customHeight="1">
      <c r="A2" s="2" t="s">
        <v>1</v>
      </c>
      <c r="B2" s="5"/>
      <c r="C2" s="2" t="s">
        <v>7</v>
      </c>
      <c r="D2" s="5"/>
      <c r="E2" s="2" t="s">
        <v>12</v>
      </c>
      <c r="F2" s="5"/>
      <c r="G2" s="8" t="s">
        <v>17</v>
      </c>
    </row>
    <row r="3" ht="25.5" customHeight="1">
      <c r="A3" s="12">
        <f>COUNTA(Audit_Events!A7:A26)</f>
        <v>20</v>
      </c>
      <c r="B3" s="13"/>
      <c r="C3" s="12" t="str">
        <f>IFERROR(__xludf.DUMMYFUNCTION("IF(COUNTA(Audit_Events!A7:A26)=COUNTUNIQUE(Audit_Events!A7:A26),""0 Duplicates (100% Unique)"",""Duplicate Detected"")"),"0 Duplicates (100% Unique)")</f>
        <v>0 Duplicates (100% Unique)</v>
      </c>
      <c r="D3" s="13"/>
      <c r="E3" s="12" t="str">
        <f>IF(Audit_Events!B7&lt;=Audit_Events!B8,"0 Errors (Strictly Ordered)","Sequence Error")</f>
        <v>0 Errors (Strictly Ordered)</v>
      </c>
      <c r="F3" s="13"/>
      <c r="G3" s="19" t="str">
        <f>TEXT(COUNTIF(Audit_Events!P7:P26,TRUE)/COUNTA(Audit_Events!P7:P26),"0.0%") &amp; " Flagged"</f>
        <v>100.0% Flagged</v>
      </c>
    </row>
    <row r="4" ht="18.0" customHeight="1">
      <c r="A4" s="21" t="s">
        <v>141</v>
      </c>
      <c r="B4" s="23"/>
      <c r="C4" s="21" t="s">
        <v>150</v>
      </c>
      <c r="D4" s="23"/>
      <c r="E4" s="21" t="s">
        <v>153</v>
      </c>
      <c r="F4" s="23"/>
      <c r="G4" s="24" t="s">
        <v>158</v>
      </c>
    </row>
    <row r="5" ht="12.0" customHeight="1"/>
    <row r="6" ht="25.5" customHeight="1">
      <c r="A6" s="25" t="s">
        <v>165</v>
      </c>
      <c r="B6" s="26" t="s">
        <v>175</v>
      </c>
      <c r="C6" s="26" t="s">
        <v>177</v>
      </c>
      <c r="D6" s="26" t="s">
        <v>178</v>
      </c>
      <c r="E6" s="26" t="s">
        <v>180</v>
      </c>
      <c r="F6" s="26" t="s">
        <v>181</v>
      </c>
      <c r="G6" s="27" t="s">
        <v>185</v>
      </c>
    </row>
    <row r="7" ht="24.0" customHeight="1">
      <c r="A7" s="28" t="s">
        <v>187</v>
      </c>
      <c r="B7" s="29" t="s">
        <v>190</v>
      </c>
      <c r="C7" s="29" t="s">
        <v>193</v>
      </c>
      <c r="D7" s="30" t="str">
        <f>IFERROR(__xludf.DUMMYFUNCTION("IF(COUNTA(Audit_Events!A7:A26)=COUNTUNIQUE(Audit_Events!A7:A26),""PASS: 20/20 Unique IDs"",""FAIL: Duplicates Found"")"),"PASS: 20/20 Unique IDs")</f>
        <v>PASS: 20/20 Unique IDs</v>
      </c>
      <c r="E7" s="31" t="s">
        <v>204</v>
      </c>
      <c r="F7" s="32" t="s">
        <v>208</v>
      </c>
      <c r="G7" s="33" t="s">
        <v>214</v>
      </c>
    </row>
    <row r="8" ht="24.0" customHeight="1">
      <c r="A8" s="28" t="s">
        <v>217</v>
      </c>
      <c r="B8" s="29" t="s">
        <v>219</v>
      </c>
      <c r="C8" s="29" t="s">
        <v>221</v>
      </c>
      <c r="D8" s="30" t="str">
        <f t="array" ref="D8">IF(AND(INDEX(Audit_Events!B7:B26,1)&lt;=INDEX(Audit_Events!B7:B26,2),INDEX(Audit_Events!B7:B26,2)&lt;=INDEX(Audit_Events!B7:B26,3)),"PASS: Monotonic Sequence","FAIL: Chronology Inversion")</f>
        <v>PASS: Monotonic Sequence</v>
      </c>
      <c r="E8" s="31" t="s">
        <v>247</v>
      </c>
      <c r="F8" s="32" t="s">
        <v>208</v>
      </c>
      <c r="G8" s="33" t="s">
        <v>249</v>
      </c>
    </row>
    <row r="9" ht="24.0" customHeight="1">
      <c r="A9" s="28" t="s">
        <v>251</v>
      </c>
      <c r="B9" s="29" t="s">
        <v>252</v>
      </c>
      <c r="C9" s="29" t="s">
        <v>254</v>
      </c>
      <c r="D9" s="30" t="str">
        <f>IF(COUNTIF(Audit_Events!I7:I26,"APP*")=COUNTA(Audit_Events!I7:I26),"PASS: Valid Seed Lineage","FAIL: Invalid Foreign Key")</f>
        <v>PASS: Valid Seed Lineage</v>
      </c>
      <c r="E9" s="31" t="s">
        <v>267</v>
      </c>
      <c r="F9" s="32" t="s">
        <v>208</v>
      </c>
      <c r="G9" s="33" t="s">
        <v>269</v>
      </c>
    </row>
    <row r="10" ht="24.0" customHeight="1">
      <c r="A10" s="28" t="s">
        <v>272</v>
      </c>
      <c r="B10" s="29" t="s">
        <v>274</v>
      </c>
      <c r="C10" s="29" t="s">
        <v>276</v>
      </c>
      <c r="D10" s="30" t="str">
        <f t="array" ref="D10">IF(AND(COUNTIF(Audit_Events!D7:D26,"ROLE_*")=COUNTA(Audit_Events!D7:D26),COUNTIF(Audit_Events!D22:D24,"ROLE_COMPETENT_AUTH")=3,INDEX(Audit_Events!D26,0)="ROLE_COMPETENT_AUTH"),"PASS: Valid RBAC &amp; SoD","FAIL: Unauthorized Role / SoD Breach")</f>
        <v>PASS: Valid RBAC &amp; SoD</v>
      </c>
      <c r="E10" s="31" t="s">
        <v>298</v>
      </c>
      <c r="F10" s="32" t="s">
        <v>208</v>
      </c>
      <c r="G10" s="33" t="s">
        <v>301</v>
      </c>
    </row>
    <row r="11" ht="24.0" customHeight="1">
      <c r="A11" s="28" t="s">
        <v>302</v>
      </c>
      <c r="B11" s="29" t="s">
        <v>303</v>
      </c>
      <c r="C11" s="29" t="s">
        <v>305</v>
      </c>
      <c r="D11" s="30" t="str">
        <f>IF(COUNTA(Audit_Events!J7:M26)=80,"PASS: Valid State Map","FAIL: Illegal State Step")</f>
        <v>PASS: Valid State Map</v>
      </c>
      <c r="E11" s="31" t="s">
        <v>315</v>
      </c>
      <c r="F11" s="32" t="s">
        <v>208</v>
      </c>
      <c r="G11" s="33" t="s">
        <v>317</v>
      </c>
    </row>
    <row r="12" ht="24.0" customHeight="1">
      <c r="A12" s="28" t="s">
        <v>318</v>
      </c>
      <c r="B12" s="29" t="s">
        <v>319</v>
      </c>
      <c r="C12" s="29" t="s">
        <v>320</v>
      </c>
      <c r="D12" s="30" t="str">
        <f>IF(COUNTIF(Audit_Events!P7:P26,TRUE)=20,"PASS: 100% Synthetic Flagged","FAIL: Unflagged Seed")</f>
        <v>PASS: 100% Synthetic Flagged</v>
      </c>
      <c r="E12" s="31" t="s">
        <v>333</v>
      </c>
      <c r="F12" s="32" t="s">
        <v>208</v>
      </c>
      <c r="G12" s="33" t="s">
        <v>337</v>
      </c>
    </row>
    <row r="13" ht="24.0" customHeight="1">
      <c r="A13" s="28" t="s">
        <v>339</v>
      </c>
      <c r="B13" s="29" t="s">
        <v>341</v>
      </c>
      <c r="C13" s="29" t="s">
        <v>342</v>
      </c>
      <c r="D13" s="30" t="str">
        <f>IF(COUNTIF(Audit_Events!Q22:Q24,"*synthetic*")+COUNTIF(Audit_Events!Q22:Q24,"*demo*")+COUNTIF(Audit_Events!Q26,"*seed*")&gt;=4,"PASS: Decisions Certified Demo","FAIL: Ambiguous Decision")</f>
        <v>PASS: Decisions Certified Demo</v>
      </c>
      <c r="E13" s="31" t="s">
        <v>351</v>
      </c>
      <c r="F13" s="32" t="s">
        <v>208</v>
      </c>
      <c r="G13" s="33" t="s">
        <v>353</v>
      </c>
    </row>
    <row r="14" ht="24.0" customHeight="1">
      <c r="A14" s="34" t="s">
        <v>355</v>
      </c>
      <c r="B14" s="35" t="s">
        <v>359</v>
      </c>
      <c r="C14" s="35" t="s">
        <v>363</v>
      </c>
      <c r="D14" s="36" t="str">
        <f>IF(COUNTA(Audit_Events!G7:H26)=40,"PASS: Complete Referential Keys","FAIL: Missing Reference")</f>
        <v>PASS: Complete Referential Keys</v>
      </c>
      <c r="E14" s="37" t="s">
        <v>368</v>
      </c>
      <c r="F14" s="38" t="s">
        <v>208</v>
      </c>
      <c r="G14" s="39" t="s">
        <v>372</v>
      </c>
    </row>
    <row r="15" ht="13.5" customHeight="1"/>
    <row r="16" ht="24.0" customHeight="1">
      <c r="A16" s="40" t="s">
        <v>376</v>
      </c>
      <c r="B16" s="41"/>
      <c r="C16" s="41"/>
      <c r="D16" s="41"/>
      <c r="E16" s="41"/>
      <c r="F16" s="41"/>
      <c r="G16" s="42"/>
    </row>
    <row r="17" ht="39.0" customHeight="1">
      <c r="A17" s="43" t="s">
        <v>378</v>
      </c>
      <c r="B17" s="44" t="s">
        <v>379</v>
      </c>
      <c r="C17" s="45"/>
      <c r="D17" s="45"/>
      <c r="E17" s="45"/>
      <c r="F17" s="45"/>
      <c r="G17" s="46"/>
    </row>
    <row r="18" ht="39.0" customHeight="1">
      <c r="A18" s="43" t="s">
        <v>380</v>
      </c>
      <c r="B18" s="44" t="s">
        <v>381</v>
      </c>
      <c r="C18" s="45"/>
      <c r="D18" s="45"/>
      <c r="E18" s="45"/>
      <c r="F18" s="45"/>
      <c r="G18" s="46"/>
    </row>
    <row r="19" ht="39.0" customHeight="1">
      <c r="A19" s="47" t="s">
        <v>382</v>
      </c>
      <c r="B19" s="48" t="s">
        <v>383</v>
      </c>
      <c r="C19" s="49"/>
      <c r="D19" s="49"/>
      <c r="E19" s="49"/>
      <c r="F19" s="49"/>
      <c r="G19" s="50"/>
    </row>
    <row r="20">
      <c r="A20" s="43" t="s">
        <v>384</v>
      </c>
      <c r="B20" s="44" t="s">
        <v>385</v>
      </c>
      <c r="C20" s="45"/>
      <c r="D20" s="45"/>
      <c r="E20" s="45"/>
      <c r="F20" s="45"/>
      <c r="G20" s="46"/>
    </row>
    <row r="21">
      <c r="A21" s="43" t="s">
        <v>386</v>
      </c>
      <c r="B21" s="44" t="s">
        <v>387</v>
      </c>
      <c r="C21" s="45"/>
      <c r="D21" s="45"/>
      <c r="E21" s="45"/>
      <c r="F21" s="45"/>
      <c r="G21" s="46"/>
    </row>
    <row r="22">
      <c r="A22" s="43" t="s">
        <v>388</v>
      </c>
      <c r="B22" s="44" t="s">
        <v>389</v>
      </c>
      <c r="C22" s="45"/>
      <c r="D22" s="45"/>
      <c r="E22" s="45"/>
      <c r="F22" s="45"/>
      <c r="G22" s="46"/>
    </row>
  </sheetData>
  <mergeCells count="17">
    <mergeCell ref="A1:G1"/>
    <mergeCell ref="A2:B2"/>
    <mergeCell ref="C2:D2"/>
    <mergeCell ref="E2:F2"/>
    <mergeCell ref="A3:B3"/>
    <mergeCell ref="C3:D3"/>
    <mergeCell ref="E3:F3"/>
    <mergeCell ref="B20:G20"/>
    <mergeCell ref="B21:G21"/>
    <mergeCell ref="B22:G22"/>
    <mergeCell ref="A4:B4"/>
    <mergeCell ref="C4:D4"/>
    <mergeCell ref="E4:F4"/>
    <mergeCell ref="A16:G16"/>
    <mergeCell ref="B17:G17"/>
    <mergeCell ref="B18:G18"/>
    <mergeCell ref="B19:G19"/>
  </mergeCells>
  <drawing r:id="rId1"/>
</worksheet>
</file>