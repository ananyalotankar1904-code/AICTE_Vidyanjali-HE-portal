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ge_Definitions" sheetId="1" r:id="rId5"/>
    <sheet state="visible" name="Transition_Rules" sheetId="2" r:id="rId6"/>
    <sheet state="visible" name="Application_Routes" sheetId="3" r:id="rId7"/>
    <sheet state="visible" name="Role_Permissions" sheetId="4" r:id="rId8"/>
    <sheet state="visible" name="Application_Stage_Assignment" sheetId="5" r:id="rId9"/>
    <sheet state="visible" name="Data_Dictionary" sheetId="6" r:id="rId10"/>
    <sheet state="visible" name="Validation_Report" sheetId="7" r:id="rId11"/>
  </sheets>
  <definedNames>
    <definedName hidden="1" localSheetId="4" name="_xlnm._FilterDatabase">Application_Stage_Assignment!$A$1:$Q$26</definedName>
  </definedNames>
  <calcPr/>
</workbook>
</file>

<file path=xl/sharedStrings.xml><?xml version="1.0" encoding="utf-8"?>
<sst xmlns="http://schemas.openxmlformats.org/spreadsheetml/2006/main" count="1465" uniqueCount="659">
  <si>
    <t>Stage_ID</t>
  </si>
  <si>
    <t>Stage_Code</t>
  </si>
  <si>
    <t>Stage_Name</t>
  </si>
  <si>
    <t>Stage_Category</t>
  </si>
  <si>
    <t>Stage_Type</t>
  </si>
  <si>
    <t>Responsible_Role</t>
  </si>
  <si>
    <t>SLA_Days</t>
  </si>
  <si>
    <t>Is_Terminal</t>
  </si>
  <si>
    <t>Can_Rollback</t>
  </si>
  <si>
    <t>Requires_Digital_Signoff</t>
  </si>
  <si>
    <t>Escalation_Stage</t>
  </si>
  <si>
    <t>Active_Status</t>
  </si>
  <si>
    <t>Stage_Description</t>
  </si>
  <si>
    <t>STG_01</t>
  </si>
  <si>
    <t>DRAFT</t>
  </si>
  <si>
    <t>Application Draft Creation</t>
  </si>
  <si>
    <t>Drafting &amp; Submission</t>
  </si>
  <si>
    <t>Initial</t>
  </si>
  <si>
    <t>Institution Admin</t>
  </si>
  <si>
    <t>SUBMITTED</t>
  </si>
  <si>
    <t>Institution enters institutional, land, faculty, and academic program details on the portal.</t>
  </si>
  <si>
    <t>STG_02</t>
  </si>
  <si>
    <t>Application Submitted</t>
  </si>
  <si>
    <t>Intake &amp; Verification</t>
  </si>
  <si>
    <t>Intermediate</t>
  </si>
  <si>
    <t>Intake Officer</t>
  </si>
  <si>
    <t>INITIAL_VALIDATION</t>
  </si>
  <si>
    <t>Online application locked and submitted with notary affidavit and digital signatures.</t>
  </si>
  <si>
    <t>STG_03</t>
  </si>
  <si>
    <t>Initial Fee &amp; Document Validation</t>
  </si>
  <si>
    <t>Validation Officer</t>
  </si>
  <si>
    <t>INITIAL_SCRUTINY</t>
  </si>
  <si>
    <t>Preliminary verification of fee payment reconciliation, mandatory documents, and eligibility.</t>
  </si>
  <si>
    <t>STG_04</t>
  </si>
  <si>
    <t>Technical Scrutiny Evaluation</t>
  </si>
  <si>
    <t>Committee Evaluation</t>
  </si>
  <si>
    <t>Scrutiny Officer</t>
  </si>
  <si>
    <t>DEFICIENCY_RAISED</t>
  </si>
  <si>
    <t>Technical verification of land titles, building plans, AICTE affiliation norms, and statutory approvals.</t>
  </si>
  <si>
    <t>STG_05</t>
  </si>
  <si>
    <t>Deficiency Notice Issued</t>
  </si>
  <si>
    <t>Exception Handling</t>
  </si>
  <si>
    <t>Exception</t>
  </si>
  <si>
    <t>RE_SCRUTINY</t>
  </si>
  <si>
    <t>Document or infrastructure deficiencies flagged; compliance upload window opened for institution.</t>
  </si>
  <si>
    <t>STG_06</t>
  </si>
  <si>
    <t>Post-Deficiency Compliance Scrutiny</t>
  </si>
  <si>
    <t>EVC_PENDING</t>
  </si>
  <si>
    <t>Scrutiny panel evaluates rectified compliance proofs submitted following deficiency memo.</t>
  </si>
  <si>
    <t>STG_07</t>
  </si>
  <si>
    <t>Expert Visit Committee Roster Pending</t>
  </si>
  <si>
    <t>Expert Inspection</t>
  </si>
  <si>
    <t>EVC Coordinator</t>
  </si>
  <si>
    <t>EVC_SCHEDULED</t>
  </si>
  <si>
    <t>Physical or virtual campus inspection panel allocation and schedule coordination.</t>
  </si>
  <si>
    <t>STG_08</t>
  </si>
  <si>
    <t>Expert Visit Committee Scheduled</t>
  </si>
  <si>
    <t>EVC_COMPLETED</t>
  </si>
  <si>
    <t>Inspection date fixed with 3-member expert committee to verify ground facilities.</t>
  </si>
  <si>
    <t>STG_09</t>
  </si>
  <si>
    <t>EVC Inspection Report Submitted</t>
  </si>
  <si>
    <t>COMMITTEE_REVIEW</t>
  </si>
  <si>
    <t>Expert Visit Committee report submitted with geo-tagged photos, video evidence, and rubric scores.</t>
  </si>
  <si>
    <t>STG_10</t>
  </si>
  <si>
    <t>Regional / Executive Committee Review</t>
  </si>
  <si>
    <t>Committee Secretariat</t>
  </si>
  <si>
    <t>DECISION_PENDING</t>
  </si>
  <si>
    <t>Committee evaluates inspection findings, scrutiny reports, and recommendations.</t>
  </si>
  <si>
    <t>STG_11</t>
  </si>
  <si>
    <t>Competent Authority Determination</t>
  </si>
  <si>
    <t>Final Determination</t>
  </si>
  <si>
    <t>Competent Authority Secretariat</t>
  </si>
  <si>
    <t>COMPLETED</t>
  </si>
  <si>
    <t>Final statutory consideration and formal approval/rejection order preparation by competent authority.</t>
  </si>
  <si>
    <t>STG_12</t>
  </si>
  <si>
    <t>Regulatory Approval Granted</t>
  </si>
  <si>
    <t>Terminal</t>
  </si>
  <si>
    <t>Records Officer</t>
  </si>
  <si>
    <t>NONE</t>
  </si>
  <si>
    <t>Formal Letter of Approval (LoA) or Extension of Approval (EoA) issued and archived.</t>
  </si>
  <si>
    <t>STG_13</t>
  </si>
  <si>
    <t>REJECTED</t>
  </si>
  <si>
    <t>Application Formally Rejected</t>
  </si>
  <si>
    <t>Appellate Authority</t>
  </si>
  <si>
    <t>Application rejected by Competent Authority with statutory grounds; appellate filing window opens.</t>
  </si>
  <si>
    <t>STG_14</t>
  </si>
  <si>
    <t>WITHDRAWN</t>
  </si>
  <si>
    <t>Application Withdrawn</t>
  </si>
  <si>
    <t>Dormant/Terminal</t>
  </si>
  <si>
    <t>Applicant institution voluntarily withdraws application prior to final determination.</t>
  </si>
  <si>
    <t>STG_15</t>
  </si>
  <si>
    <t>HIBERNATED</t>
  </si>
  <si>
    <t>Institution Operations Hibernated</t>
  </si>
  <si>
    <t>Institution placed in hibernation mode for up to one academic session for facility revamping.</t>
  </si>
  <si>
    <t>Rule_ID</t>
  </si>
  <si>
    <t>Current_Stage_Code</t>
  </si>
  <si>
    <t>Trigger_Action</t>
  </si>
  <si>
    <t>Next_Stage_Code</t>
  </si>
  <si>
    <t>Transition_Type</t>
  </si>
  <si>
    <t>Authorized_Role</t>
  </si>
  <si>
    <t>Precondition_Check</t>
  </si>
  <si>
    <t>Requires_Documentation</t>
  </si>
  <si>
    <t>Requires_Digital_Signature</t>
  </si>
  <si>
    <t>Auto_Transition</t>
  </si>
  <si>
    <t>SLA_Reset_Days</t>
  </si>
  <si>
    <t>Is_Terminal_Transition</t>
  </si>
  <si>
    <t>Audit_Logging_Required</t>
  </si>
  <si>
    <t>Rule_Status</t>
  </si>
  <si>
    <t>Rule_Description</t>
  </si>
  <si>
    <t>TR_001</t>
  </si>
  <si>
    <t>SUBMIT_APPLICATION</t>
  </si>
  <si>
    <t>Forward</t>
  </si>
  <si>
    <t>All mandatory institutional tabs completed &amp; affidavits verified</t>
  </si>
  <si>
    <t>ACTIVE</t>
  </si>
  <si>
    <t>Applicant locks application data and formally submits to AICTE.</t>
  </si>
  <si>
    <t>TR_002</t>
  </si>
  <si>
    <t>ASSIGN_INTAKE</t>
  </si>
  <si>
    <t>Application received on portal; intake checklist verified</t>
  </si>
  <si>
    <t>Intake officer verifies submission package and assigns for fee/document validation.</t>
  </si>
  <si>
    <t>TR_003</t>
  </si>
  <si>
    <t>VALIDATE_FEES_DOCS</t>
  </si>
  <si>
    <t>Fee payment challan reconciled and preliminary documents verified</t>
  </si>
  <si>
    <t>Validation officer clears payment and statutory credentials, forwarding to technical scrutiny.</t>
  </si>
  <si>
    <t>TR_004</t>
  </si>
  <si>
    <t>ROLLBACK_INTAKE</t>
  </si>
  <si>
    <t>Rollback</t>
  </si>
  <si>
    <t>Defective application payload or fee reconciliation failure requiring applicant correction</t>
  </si>
  <si>
    <t>Returns dossier to draft status to permit applicant corrections before formal review.</t>
  </si>
  <si>
    <t>TR_005</t>
  </si>
  <si>
    <t>PASS_SCRUTINY</t>
  </si>
  <si>
    <t>All technical scrutiny norms verified; inspection waiver applicable (routine EoA)</t>
  </si>
  <si>
    <t>Technical scrutiny completed satisfactorily; routed directly to committee review.</t>
  </si>
  <si>
    <t>TR_006</t>
  </si>
  <si>
    <t>FLAG_DEFICIENCIES</t>
  </si>
  <si>
    <t>Exception Loop</t>
  </si>
  <si>
    <t>Non-compliant or missing documentation flagged in portal memo</t>
  </si>
  <si>
    <t>Scrutiny officer issues deficiency notice and opens institutional compliance upload window.</t>
  </si>
  <si>
    <t>TR_007</t>
  </si>
  <si>
    <t>RECOMMEND_EVC</t>
  </si>
  <si>
    <t>New program or intake increase route requiring physical/virtual site inspection</t>
  </si>
  <si>
    <t>Scrutiny panel recommends campus physical inspection for infrastructure verification.</t>
  </si>
  <si>
    <t>TR_008</t>
  </si>
  <si>
    <t>RECTIFY_DEFICIENCY</t>
  </si>
  <si>
    <t>Rectified compliance proofs uploaded within 10-day compliance window</t>
  </si>
  <si>
    <t>Institution uploads compliance documents to initiate post-deficiency re-scrutiny.</t>
  </si>
  <si>
    <t>TR_009</t>
  </si>
  <si>
    <t>WITHDRAW_DEFICIENT</t>
  </si>
  <si>
    <t>Terminal Determination</t>
  </si>
  <si>
    <t>Trust governing board resolution for voluntary application withdrawal uploaded</t>
  </si>
  <si>
    <t>Voluntary withdrawal submitted following deficiency memo.</t>
  </si>
  <si>
    <t>TR_010</t>
  </si>
  <si>
    <t>PASS_RE_SCRUTINY</t>
  </si>
  <si>
    <t>Re-scrutiny panel verifies compliance proofs; eligible for desk approval</t>
  </si>
  <si>
    <t>Rectified documents satisfy norms; dossier routed forward to committee review.</t>
  </si>
  <si>
    <t>TR_011</t>
  </si>
  <si>
    <t>RE_SCRUTINY_TO_EVC</t>
  </si>
  <si>
    <t>Compliance proofs validated; campus inspection required to confirm ground facilities</t>
  </si>
  <si>
    <t>Compliance proofs validated; campus inspection rostered.</t>
  </si>
  <si>
    <t>TR_012</t>
  </si>
  <si>
    <t>ESCALATE_UNRESOLVED</t>
  </si>
  <si>
    <t>Unresolved deficiencies flagged; referred to committee review for hearing/determination</t>
  </si>
  <si>
    <t>Unresolved deficiencies escalated to committee for consideration without automated rejection.</t>
  </si>
  <si>
    <t>TR_013</t>
  </si>
  <si>
    <t>SCHEDULE_EVC_VISIT</t>
  </si>
  <si>
    <t>3-member expert visit panel rostered and inspection dates confirmed</t>
  </si>
  <si>
    <t>EVC panel confirmed and inspection date fixed for campus visit.</t>
  </si>
  <si>
    <t>TR_014</t>
  </si>
  <si>
    <t>UPLOAD_EVC_REPORT</t>
  </si>
  <si>
    <t>Physical/virtual inspection completed; geo-tagged photos and rubric scores uploaded</t>
  </si>
  <si>
    <t>Expert Visit Committee submits comprehensive on-site verification report.</t>
  </si>
  <si>
    <t>TR_015</t>
  </si>
  <si>
    <t>TRANSMIT_EVC_REPORT</t>
  </si>
  <si>
    <t>Inspection findings, rubric scoring, and officer notes compiled for committee</t>
  </si>
  <si>
    <t>Committee secretariat prepares dossier and places inspection report on committee agenda.</t>
  </si>
  <si>
    <t>TR_016</t>
  </si>
  <si>
    <t>SUBMIT_RECOMMENDATION</t>
  </si>
  <si>
    <t>Committee minutes and statutory recommendations finalized for competent authority</t>
  </si>
  <si>
    <t>Regional/Executive Committee finalizes recommendations for competent authority determination.</t>
  </si>
  <si>
    <t>TR_017</t>
  </si>
  <si>
    <t>RECORD_HUMAN_APPROVAL</t>
  </si>
  <si>
    <t>Official human statutory determination approving application recorded with quorum</t>
  </si>
  <si>
    <t>Human-authorized approval order officially granted by Competent Authority; automated approval prohibited.</t>
  </si>
  <si>
    <t>TR_018</t>
  </si>
  <si>
    <t>RECORD_HUMAN_REJECTION</t>
  </si>
  <si>
    <t>Official human statutory determination rejecting application recorded with legal grounds</t>
  </si>
  <si>
    <t>Human-authorized rejection order recorded by Competent Authority; automated rejection strictly prohibited.</t>
  </si>
  <si>
    <t>TR_019</t>
  </si>
  <si>
    <t>AUTHORIZE_HIBERNATION</t>
  </si>
  <si>
    <t>Formal institutional hibernation moratorium granted under regulatory provisions</t>
  </si>
  <si>
    <t>Competent Authority grants 1-year operational hibernation for facility revamping.</t>
  </si>
  <si>
    <t>TR_020</t>
  </si>
  <si>
    <t>REQUEST_WITHDRAWAL</t>
  </si>
  <si>
    <t>Duly passed Trust/Society governing board resolution uploaded</t>
  </si>
  <si>
    <t>Voluntary withdrawal recorded prior to technical evaluation.</t>
  </si>
  <si>
    <t>TR_021</t>
  </si>
  <si>
    <t>ENTER_HIBERNATION</t>
  </si>
  <si>
    <t>Post-approval restructuring or infrastructure revamping application authorized</t>
  </si>
  <si>
    <t>Operational pause authorized by Competent Authority.</t>
  </si>
  <si>
    <t>TR_022</t>
  </si>
  <si>
    <t>REVOKE_HIBERNATION</t>
  </si>
  <si>
    <t>Revamping completed; fresh compliance documentation filed to resume operations</t>
  </si>
  <si>
    <t>Competent authority revokes hibernation upon receipt of compliance dossier.</t>
  </si>
  <si>
    <t>TR_023</t>
  </si>
  <si>
    <t>REMAND_APPEAL</t>
  </si>
  <si>
    <t>Appellate hearing finds procedural compliance and remands to Competent Authority</t>
  </si>
  <si>
    <t>Quasi-judicial appellate decision remanding application for reconsideration.</t>
  </si>
  <si>
    <t>TR_024</t>
  </si>
  <si>
    <t>CONFIRM_CLOSURE</t>
  </si>
  <si>
    <t>Competent Authority ratifies progressive institutional closure resolution</t>
  </si>
  <si>
    <t>Official executive closure confirmation recorded by Competent Authority.</t>
  </si>
  <si>
    <t>Route_ID</t>
  </si>
  <si>
    <t>Route_Code</t>
  </si>
  <si>
    <t>Application_Type</t>
  </si>
  <si>
    <t>Eligibility_Criteria</t>
  </si>
  <si>
    <t>Entry_Conditions</t>
  </si>
  <si>
    <t>Mandatory_Stages_Sequence</t>
  </si>
  <si>
    <t>Requires_EVC</t>
  </si>
  <si>
    <t>Requires_Affiliation_NOC</t>
  </si>
  <si>
    <t>Applicable_TER_Charges_INR</t>
  </si>
  <si>
    <t>Target_SLA_Days</t>
  </si>
  <si>
    <t>Allowed_Terminal_Outcomes</t>
  </si>
  <si>
    <t>Final_Outcome_Stage</t>
  </si>
  <si>
    <t>RT_01</t>
  </si>
  <si>
    <t>ROUTE_NEW_INST</t>
  </si>
  <si>
    <t>New Programme</t>
  </si>
  <si>
    <t>Illustrative demo criteria: registered entity with academic campus readiness [Demo Config]</t>
  </si>
  <si>
    <t>Valid digital application submission, preliminary fee validation [Demo Config]</t>
  </si>
  <si>
    <t>DRAFT -&gt; SUBMITTED -&gt; INITIAL_VALIDATION -&gt; INITIAL_SCRUTINY -&gt; EVC_PENDING -&gt; EVC_SCHEDULED -&gt; EVC_COMPLETED -&gt; COMMITTEE_REVIEW -&gt; DECISION_PENDING -&gt; COMPLETED</t>
  </si>
  <si>
    <t>₹500,000 [Demo Config]</t>
  </si>
  <si>
    <t>COMPLETED, REJECTED, WITHDRAWN</t>
  </si>
  <si>
    <t>RT_02</t>
  </si>
  <si>
    <t>ROUTE_EOA_STD</t>
  </si>
  <si>
    <t>Extension of Approval</t>
  </si>
  <si>
    <t>Illustrative demo criteria: existing approved institution in regular standing [Demo Config]</t>
  </si>
  <si>
    <t>Annual reporting dossier submitted, no unaddressed compliance embargoes [Demo Config]</t>
  </si>
  <si>
    <t>DRAFT -&gt; SUBMITTED -&gt; INITIAL_VALIDATION -&gt; INITIAL_SCRUTINY -&gt; COMMITTEE_REVIEW -&gt; DECISION_PENDING -&gt; COMPLETED</t>
  </si>
  <si>
    <t>₹100,000 [Demo Config]</t>
  </si>
  <si>
    <t>COMPLETED, REJECTED, HIBERNATED, WITHDRAWN</t>
  </si>
  <si>
    <t>RT_03</t>
  </si>
  <si>
    <t>ROUTE_INC_INTAKE</t>
  </si>
  <si>
    <t>Increase in Intake</t>
  </si>
  <si>
    <t>Illustrative demo criteria: accredited program seeking student capacity expansion [Demo Config]</t>
  </si>
  <si>
    <t>Verified laboratory carpet area and faculty cadre ratio norms [Demo Config]</t>
  </si>
  <si>
    <t>₹200,000 [Demo Config]</t>
  </si>
  <si>
    <t>RT_04</t>
  </si>
  <si>
    <t>ROUTE_CLOSURE</t>
  </si>
  <si>
    <t>Institutional Closure / Hibernation</t>
  </si>
  <si>
    <t>Illustrative demo criteria: voluntary institutional suspension or facility overhaul [Demo Config]</t>
  </si>
  <si>
    <t>Governing body resolution and student migration transition roadmap [Demo Config]</t>
  </si>
  <si>
    <t>DRAFT -&gt; SUBMITTED -&gt; INITIAL_VALIDATION -&gt; INITIAL_SCRUTINY -&gt; COMMITTEE_REVIEW -&gt; DECISION_PENDING -&gt; WITHDRAWN</t>
  </si>
  <si>
    <t>₹50,000 [Demo Config]</t>
  </si>
  <si>
    <t>WITHDRAWN, HIBERNATED, REJECTED</t>
  </si>
  <si>
    <t>Role_ID</t>
  </si>
  <si>
    <t>Role_Code</t>
  </si>
  <si>
    <t>Role_Title</t>
  </si>
  <si>
    <t>User_Domain</t>
  </si>
  <si>
    <t>Permitted_Stages_Access</t>
  </si>
  <si>
    <t>Allowed_Actions</t>
  </si>
  <si>
    <t>Operational_Restrictions</t>
  </si>
  <si>
    <t>Can_Approve</t>
  </si>
  <si>
    <t>Can_Flag_Deficiency</t>
  </si>
  <si>
    <t>Can_Issue_Orders</t>
  </si>
  <si>
    <t>Can_Upload_Inspection</t>
  </si>
  <si>
    <t>Statutory_Decision_Authority</t>
  </si>
  <si>
    <t>Access_Level_Description</t>
  </si>
  <si>
    <t>ROL_01</t>
  </si>
  <si>
    <t>ROLE_INSTITUTION_ADMIN</t>
  </si>
  <si>
    <t>External Applicant</t>
  </si>
  <si>
    <t>DRAFT, DEFICIENCY_RAISED, WITHDRAWN</t>
  </si>
  <si>
    <t>CREATE_DRAFT, SUBMIT_APPLICATION, UPLOAD_DEFICIENCY_RESPONSE, REQUEST_WITHDRAWAL</t>
  </si>
  <si>
    <t>Restricted from advancing stage without fees or bypassing scrutiny memo</t>
  </si>
  <si>
    <t>Prepares institutional application data, uploads deficiency compliance, and requests withdrawal.</t>
  </si>
  <si>
    <t>ROL_02</t>
  </si>
  <si>
    <t>ROLE_INTAKE_OFFICER</t>
  </si>
  <si>
    <t>AICTE Regional Office</t>
  </si>
  <si>
    <t>SUBMITTED, INITIAL_VALIDATION</t>
  </si>
  <si>
    <t>RECEIVE_APPLICATION, VERIFY_INTAKE_CHECKLIST, ASSIGN_VALIDATION</t>
  </si>
  <si>
    <t>Cannot evaluate technical criteria or issue statutory determinations</t>
  </si>
  <si>
    <t>Performs initial application intake, verifies submission checklist, and queues for fee/document validation.</t>
  </si>
  <si>
    <t>ROL_03</t>
  </si>
  <si>
    <t>ROLE_VALIDATION_OFFICER</t>
  </si>
  <si>
    <t>INITIAL_VALIDATION, INITIAL_SCRUTINY</t>
  </si>
  <si>
    <t>VALIDATE_FEES, VERIFY_MANDATORY_DOCS, FORWARD_TO_SCRUTINY</t>
  </si>
  <si>
    <t>Cannot grant regulatory approvals or alter institutional norms</t>
  </si>
  <si>
    <t>Validates fee payment reconciliation and mandatory preliminary statutory documentation.</t>
  </si>
  <si>
    <t>ROL_04</t>
  </si>
  <si>
    <t>ROLE_SCRUTINY_OFFICER</t>
  </si>
  <si>
    <t>Expert Panel</t>
  </si>
  <si>
    <t>INITIAL_SCRUTINY, DEFICIENCY_RAISED, RE_SCRUTINY, EVC_PENDING</t>
  </si>
  <si>
    <t>EVALUATE_DOCUMENTS, PASS_SCRUTINY, FLAG_DEFICIENCY, VERIFY_COMPLIANCE</t>
  </si>
  <si>
    <t>Restricted to technical scrutiny window; cannot conduct physical inspection</t>
  </si>
  <si>
    <t>Conducts digital technical verification of land, building, faculty, and academic programs; flags deficiencies.</t>
  </si>
  <si>
    <t>ROL_05</t>
  </si>
  <si>
    <t>ROLE_EVC_COORDINATOR</t>
  </si>
  <si>
    <t>EVC_PENDING, EVC_SCHEDULED, EVC_COMPLETED</t>
  </si>
  <si>
    <t>SCHEDULE_EVC, CONDUCT_INSPECTION, UPLOAD_EVC_REPORT, SCORE_RUBRIC</t>
  </si>
  <si>
    <t>Cannot modify institutional application data or waive statutory norms</t>
  </si>
  <si>
    <t>Coordinates and conducts on-site/virtual physical verification with geo-tagging; uploads inspection scoring.</t>
  </si>
  <si>
    <t>ROL_06</t>
  </si>
  <si>
    <t>ROLE_COMMITTEE_SECRETARIAT</t>
  </si>
  <si>
    <t>AICTE HQ / Regional Office</t>
  </si>
  <si>
    <t>EVC_COMPLETED, COMMITTEE_REVIEW, DECISION_PENDING</t>
  </si>
  <si>
    <t>PREPARE_AGENDA, COMPILE_COMMITTEE_MINUTES, RECOMMEND_OUTCOME</t>
  </si>
  <si>
    <t>Administrative compilation only; cannot cast statutory decision votes</t>
  </si>
  <si>
    <t>Prepares committee agenda, compiles scrutiny and EVC reports, and records committee recommendations.</t>
  </si>
  <si>
    <t>ROL_07</t>
  </si>
  <si>
    <t>ROLE_COMPETENT_AUTHORITY</t>
  </si>
  <si>
    <t>AICTE Council / Executive Committee</t>
  </si>
  <si>
    <t>DECISION_PENDING, COMPLETED, REJECTED, HIBERNATED</t>
  </si>
  <si>
    <t>GRANT_APPROVAL, ISSUE_REJECTION, AUTHORIZE_HIBERNATION</t>
  </si>
  <si>
    <t>Must record official human statutory determination; automated decisions strictly prohibited</t>
  </si>
  <si>
    <t>Authorized competent statutory authority recording official executive decisions through human determination.</t>
  </si>
  <si>
    <t>ROL_08</t>
  </si>
  <si>
    <t>ROLE_RECORDS_OFFICER</t>
  </si>
  <si>
    <t>AICTE Administration</t>
  </si>
  <si>
    <t>COMPLETED, WITHDRAWN</t>
  </si>
  <si>
    <t>DISPATCH_APPROVAL_LETTER, ARCHIVE_DOSSIER, PUBLISH_PORTAL_REGISTRY</t>
  </si>
  <si>
    <t>Purely administrative archiving; cannot amend granted approvals or decisions</t>
  </si>
  <si>
    <t>Dispatches official LoA/EoA letters, updates public institutional portal register, and archives dossiers.</t>
  </si>
  <si>
    <t>ROL_09</t>
  </si>
  <si>
    <t>ROLE_APPELLATE_AUTHORITY</t>
  </si>
  <si>
    <t>Appellate Panel</t>
  </si>
  <si>
    <t>REJECTED, DECISION_PENDING</t>
  </si>
  <si>
    <t>CONDUCT_APPELLATE_HEARING, REVIEW_APPEAL, REMAND_FOR_RE_EVALUATION</t>
  </si>
  <si>
    <t>Bound by quasi-judicial appellate proceedings; hears appeals on rejected applications</t>
  </si>
  <si>
    <t>Quasi-judicial authority conducting formal appellate hearings on rejected applications.</t>
  </si>
  <si>
    <t>ROL_10</t>
  </si>
  <si>
    <t>ROLE_AUDITOR_VIGILANCE</t>
  </si>
  <si>
    <t>Chief Vigilance Officer</t>
  </si>
  <si>
    <t>AICTE Oversight</t>
  </si>
  <si>
    <t>ALL_STAGES_READ_ONLY</t>
  </si>
  <si>
    <t>VIEW_AUDIT_LOGS, EXPORT_INTEGRITY_REPORTS, AUDIT_TRAIL_INSPECTION</t>
  </si>
  <si>
    <t>Strict Read-Only; cannot modify or transition application records</t>
  </si>
  <si>
    <t>Independent oversight across all records, transition audit logs, and decisions for fraud prevention.</t>
  </si>
  <si>
    <t>ROL_11</t>
  </si>
  <si>
    <t>ROLE_SYSTEM_ENGINE</t>
  </si>
  <si>
    <t>Automated Workflow Orchestrator</t>
  </si>
  <si>
    <t>AICTE IT Core</t>
  </si>
  <si>
    <t>ALL_STAGES_AUTOMATED</t>
  </si>
  <si>
    <t>TRIGGER_SLA_REMINDERS, LOG_AUDIT_EVENT, RECALCULATE_DAYS_IN_STAGE</t>
  </si>
  <si>
    <t>Automated timers and event logging only; strictly prohibited from recording statutory decisions</t>
  </si>
  <si>
    <t>Automated engine managing SLA reminders and system logging without discretionary authority.</t>
  </si>
  <si>
    <t>Application_ID</t>
  </si>
  <si>
    <t>Permanent_Institute_ID</t>
  </si>
  <si>
    <t>Institution_Name</t>
  </si>
  <si>
    <t>Region</t>
  </si>
  <si>
    <t>Assigned_Role</t>
  </si>
  <si>
    <t>Submission_Date</t>
  </si>
  <si>
    <t>Stage_Entry_Date</t>
  </si>
  <si>
    <t>Days_In_Current_Stage</t>
  </si>
  <si>
    <t>SLA_Deadline</t>
  </si>
  <si>
    <t>SLA_Status</t>
  </si>
  <si>
    <t>Valid_Next_Allowed_Actions</t>
  </si>
  <si>
    <t>Expected_Next_Stage</t>
  </si>
  <si>
    <t>Deficiency_Count</t>
  </si>
  <si>
    <t>Remarks</t>
  </si>
  <si>
    <t>APP001</t>
  </si>
  <si>
    <t>INST001</t>
  </si>
  <si>
    <t>Aishabai College of Education</t>
  </si>
  <si>
    <t>Western</t>
  </si>
  <si>
    <t>Initial draft saved prior to formal submission.</t>
  </si>
  <si>
    <t>APP002</t>
  </si>
  <si>
    <t>INST002</t>
  </si>
  <si>
    <t>Anjuman-I- Islam's, Akbar Peerbhoy College of Commerce &amp; Economics</t>
  </si>
  <si>
    <t>ASSIGN_INTAKE / REQUEST_WITHDRAWAL</t>
  </si>
  <si>
    <t>Submitted with digital signatures; awaiting initial intake checklist verification.</t>
  </si>
  <si>
    <t>APP003</t>
  </si>
  <si>
    <t>INST003</t>
  </si>
  <si>
    <t>Abhinav Education Societys Law College, Pune</t>
  </si>
  <si>
    <t>VALIDATE_FEES_DOCS / ROLLBACK_INTAKE</t>
  </si>
  <si>
    <t>Payment challan reconciled; preliminary statutory documentation verified.</t>
  </si>
  <si>
    <t>APP004</t>
  </si>
  <si>
    <t>INST004</t>
  </si>
  <si>
    <t>Ashtang Ayurved Mahavidyalaya, Pune</t>
  </si>
  <si>
    <t>PASS_SCRUTINY / FLAG_DEFICIENCIES</t>
  </si>
  <si>
    <t>Technical scrutiny progressing on track for routine EoA.</t>
  </si>
  <si>
    <t>APP005</t>
  </si>
  <si>
    <t>INST005</t>
  </si>
  <si>
    <t>TAPI VALLEY EDUCATION SOCIETY'S DHANAJI NANA MAHAVIDYALAYA, FAIZPUR.</t>
  </si>
  <si>
    <t>PASS_SCRUTINY / FLAG_DEFICIENCIES / RECOMMEND_EVC</t>
  </si>
  <si>
    <t>Scrutiny identified missing laboratory and faculty cadres; past SLA.</t>
  </si>
  <si>
    <t>APP006</t>
  </si>
  <si>
    <t>INST006</t>
  </si>
  <si>
    <t>Z I COLLEGE OF LAW</t>
  </si>
  <si>
    <t>Northern</t>
  </si>
  <si>
    <t>RECTIFY_DEFICIENCY / WITHDRAW_DEFICIENT</t>
  </si>
  <si>
    <t>Deficiency notice sent; 10-day institutional compliance response window open.</t>
  </si>
  <si>
    <t>APP007</t>
  </si>
  <si>
    <t>INST007</t>
  </si>
  <si>
    <t>Zydus Medical College and Hospital.</t>
  </si>
  <si>
    <t>Deficiency notice active for land title clarifications.</t>
  </si>
  <si>
    <t>APP008</t>
  </si>
  <si>
    <t>INST008</t>
  </si>
  <si>
    <t>Z. F. Wadia Womens College and N. K. Johta College of Commerce, Chorasi</t>
  </si>
  <si>
    <t>Pending compliance submission on track for increased intake.</t>
  </si>
  <si>
    <t>APP009</t>
  </si>
  <si>
    <t>INST009</t>
  </si>
  <si>
    <t>ZENITH ENGINEERING AND MANAGEMENT STUDIES</t>
  </si>
  <si>
    <t>Eastern</t>
  </si>
  <si>
    <t>Final day for deficiency response submission.</t>
  </si>
  <si>
    <t>APP010</t>
  </si>
  <si>
    <t>INST010</t>
  </si>
  <si>
    <t>ZENITH INSTITUTE OF NURSING SCIENCES</t>
  </si>
  <si>
    <t>PASS_RE_SCRUTINY / RE_SCRUTINY_TO_EVC</t>
  </si>
  <si>
    <t>Evaluating compliance documents uploaded following deficiency notice.</t>
  </si>
  <si>
    <t>APP011</t>
  </si>
  <si>
    <t>INST011</t>
  </si>
  <si>
    <t>ZILA PARISHAD AGRICULTURE COLLEGE</t>
  </si>
  <si>
    <t>PASS_RE_SCRUTINY / ESCALATE_UNRESOLVED</t>
  </si>
  <si>
    <t>Re-scrutiny evaluation exceeding designated review timeline.</t>
  </si>
  <si>
    <t>APP012</t>
  </si>
  <si>
    <t>INST012</t>
  </si>
  <si>
    <t>ZION INSTITUTE OF NURSING</t>
  </si>
  <si>
    <t>Second-level compliance scrutiny progressing normally.</t>
  </si>
  <si>
    <t>APP013</t>
  </si>
  <si>
    <t>INST013</t>
  </si>
  <si>
    <t>Zubaida Womens Arts College, Shikaripura.</t>
  </si>
  <si>
    <t>South-Western</t>
  </si>
  <si>
    <t>Expert visit committee roster assignment pending.</t>
  </si>
  <si>
    <t>APP014</t>
  </si>
  <si>
    <t>INST014</t>
  </si>
  <si>
    <t>Zulekha College of Commerce, Science and Technology</t>
  </si>
  <si>
    <t>Campus visit scheduled for physical infrastructure verification.</t>
  </si>
  <si>
    <t>APP015</t>
  </si>
  <si>
    <t>INST015</t>
  </si>
  <si>
    <t>203-RAMESHWARAM INSTITUTE OF TECHNOLOGY AND MANAGEMENT</t>
  </si>
  <si>
    <t>Expert visit inspection completed; report upload delayed.</t>
  </si>
  <si>
    <t>APP016</t>
  </si>
  <si>
    <t>Inspection report submitted with geo-tagged evidence; placed on docket.</t>
  </si>
  <si>
    <t>APP017</t>
  </si>
  <si>
    <t>Placed on Regional Committee agenda for final review.</t>
  </si>
  <si>
    <t>APP018</t>
  </si>
  <si>
    <t>Committee minutes pending past scheduled completion.</t>
  </si>
  <si>
    <t>APP019</t>
  </si>
  <si>
    <t>RECORD_HUMAN_APPROVAL / RECORD_HUMAN_REJECTION</t>
  </si>
  <si>
    <t>Awaiting human-authorized official statutory signoff by Competent Authority.</t>
  </si>
  <si>
    <t>APP020</t>
  </si>
  <si>
    <t>Final executive consideration scheduled within timeline.</t>
  </si>
  <si>
    <t>APP021</t>
  </si>
  <si>
    <t>ENTER_HIBERNATION / ARCHIVE</t>
  </si>
  <si>
    <t>TERMINAL</t>
  </si>
  <si>
    <t>Human-authorized approval granted; Extension of Approval issued and archived.</t>
  </si>
  <si>
    <t>APP022</t>
  </si>
  <si>
    <t>Human-authorized approval granted; Letter of Approval issued for new program.</t>
  </si>
  <si>
    <t>APP023</t>
  </si>
  <si>
    <t>Human-authorized approval granted; intake increase quota approved.</t>
  </si>
  <si>
    <t>APP024</t>
  </si>
  <si>
    <t>REMAND_APPEAL / ARCHIVE</t>
  </si>
  <si>
    <t>Formally rejected by Competent Authority; appellate window open.</t>
  </si>
  <si>
    <t>APP025</t>
  </si>
  <si>
    <t>Formally rejected due to unrectified norms; appellate filing active.</t>
  </si>
  <si>
    <t>Table_Name</t>
  </si>
  <si>
    <t>Field_Name</t>
  </si>
  <si>
    <t>Data_Type</t>
  </si>
  <si>
    <t>Key_Type</t>
  </si>
  <si>
    <t>Referenced_Table_Field</t>
  </si>
  <si>
    <t>Null_Allowed</t>
  </si>
  <si>
    <t>Description</t>
  </si>
  <si>
    <t>Stage_Definitions</t>
  </si>
  <si>
    <t>String</t>
  </si>
  <si>
    <t>Primary Key</t>
  </si>
  <si>
    <t>None</t>
  </si>
  <si>
    <t>No</t>
  </si>
  <si>
    <t>Unique alphanumeric identifier for workflow stage (e.g. STG_01).</t>
  </si>
  <si>
    <t>Unique Key</t>
  </si>
  <si>
    <t>Canonical programmatic stage code (e.g. DRAFT, SUBMITTED, INITIAL_SCRUTINY).</t>
  </si>
  <si>
    <t>Descriptive</t>
  </si>
  <si>
    <t>Official human-readable title of the workflow stage displayed on portal.</t>
  </si>
  <si>
    <t>High-level functional category (Drafting, Intake, Committee, Inspection, Final Determination).</t>
  </si>
  <si>
    <t>Stage lifecycle classification: Initial, Intermediate, Exception, Terminal.</t>
  </si>
  <si>
    <t>Foreign Key</t>
  </si>
  <si>
    <t>Role_Permissions.Role_Title</t>
  </si>
  <si>
    <t>Default primary stakeholder role responsible for actioning this stage.</t>
  </si>
  <si>
    <t>Integer</t>
  </si>
  <si>
    <t>Statutory SLA turnaround standard in calendar days.</t>
  </si>
  <si>
    <t>Boolean</t>
  </si>
  <si>
    <t>TRUE if stage concludes the lifecycle (e.g. COMPLETED, REJECTED, WITHDRAWN).</t>
  </si>
  <si>
    <t>TRUE if state machine allows regression to an earlier stage.</t>
  </si>
  <si>
    <t>TRUE if digital signature (DSC) is mandatory to advance stage.</t>
  </si>
  <si>
    <t>Stage_Definitions.Stage_Code</t>
  </si>
  <si>
    <t>Yes</t>
  </si>
  <si>
    <t>Target stage code for SLA breach or exception escalation.</t>
  </si>
  <si>
    <t>TRUE if stage is currently active in canonical workflow schema.</t>
  </si>
  <si>
    <t>Detailed statutory and operational purpose of the stage.</t>
  </si>
  <si>
    <t>Transition_Rules</t>
  </si>
  <si>
    <t>Unique identifier for transition rule (e.g. TR_001).</t>
  </si>
  <si>
    <t>Source stage code initiating transition.</t>
  </si>
  <si>
    <t>Event or API trigger causing state change (e.g. SUBMIT_APPLICATION).</t>
  </si>
  <si>
    <t>Target stage code entered upon successful rule evaluation.</t>
  </si>
  <si>
    <t>Directional nature: Forward, Rollback, Exception Loop, Terminal Determination.</t>
  </si>
  <si>
    <t>Role authorized to trigger or execute the transition action.</t>
  </si>
  <si>
    <t>Business rule, validation requirement, or regulatory prerequisite.</t>
  </si>
  <si>
    <t>Flag indicating whether signed/uploaded documentation is mandatory.</t>
  </si>
  <si>
    <t>Mandatory Aadhaar/token digital signature signoff flag.</t>
  </si>
  <si>
    <t>FALSE for human-authorized decisions; TRUE only for automated timers/webhooks.</t>
  </si>
  <si>
    <t>SLA clock reset duration in calendar days upon transition.</t>
  </si>
  <si>
    <t>TRUE if transition lands into an irreversible terminal state.</t>
  </si>
  <si>
    <t>Mandatory immutable event ledger logging flag for compliance tracking.</t>
  </si>
  <si>
    <t>Operational status of the rule: ACTIVE, DEPRECATED, TEST.</t>
  </si>
  <si>
    <t>Human-readable explanation of regulatory transition conditions.</t>
  </si>
  <si>
    <t>Application_Routes</t>
  </si>
  <si>
    <t>Unique identifier for approval route pathway (e.g. RT_01).</t>
  </si>
  <si>
    <t>Canonical route code (e.g. ROUTE_NEW_INST, ROUTE_EOA_STD).</t>
  </si>
  <si>
    <t>Full title of regulatory application track (matches Dataset 2 categories).</t>
  </si>
  <si>
    <t>Regulatory qualification criteria required to enter route [Demo Config].</t>
  </si>
  <si>
    <t>Specific institutional preconditions and document filings required [Demo Config].</t>
  </si>
  <si>
    <t>Ordered workflow pipeline sequence required to reach terminal determination.</t>
  </si>
  <si>
    <t>TRUE if on-site/virtual physical verification committee is required.</t>
  </si>
  <si>
    <t>TRUE if State Government and affiliating University NOC is required.</t>
  </si>
  <si>
    <t>Currency</t>
  </si>
  <si>
    <t>Technical Education Regulatory (TER) charges in INR [Demo Config].</t>
  </si>
  <si>
    <t>Overall regulatory processing timeline SLA in calendar days.</t>
  </si>
  <si>
    <t>Permitted terminal conclusion stages for the route.</t>
  </si>
  <si>
    <t>Primary successful terminal outcome stage (e.g. COMPLETED, WITHDRAWN).</t>
  </si>
  <si>
    <t>Role_Permissions</t>
  </si>
  <si>
    <t>Unique identifier for regulatory role (e.g. ROL_01).</t>
  </si>
  <si>
    <t>System security role identifier used in RBAC security tokens (e.g. ROLE_SCRUTINY_OFFICER).</t>
  </si>
  <si>
    <t>Official organizational designation of the stakeholder role (matches Dataset 2).</t>
  </si>
  <si>
    <t>Organizational domain: External Applicant, Regional Office, Panel, AICTE HQ.</t>
  </si>
  <si>
    <t>Stages where role holds write, endorse, or sign-off capabilities.</t>
  </si>
  <si>
    <t>Specific workflow triggers and actions role is authorized to execute.</t>
  </si>
  <si>
    <t>Mandatory statutory limits and jurisdictional constraints.</t>
  </si>
  <si>
    <t>Authority flag to endorse stage clearance.</t>
  </si>
  <si>
    <t>Authority flag to issue compliance deficiency notices.</t>
  </si>
  <si>
    <t>Authority flag to publish official council orders or memos.</t>
  </si>
  <si>
    <t>Authority flag to submit official EVC inspection scoring rubrics.</t>
  </si>
  <si>
    <t>Highest authority flag indicating human statutory disposal power (TRUE only for Competent Authority / Appellate).</t>
  </si>
  <si>
    <t>Narrative summary of functional responsibilities.</t>
  </si>
  <si>
    <t>Application_Stage_Assignment</t>
  </si>
  <si>
    <t>Dataset_2.application_id</t>
  </si>
  <si>
    <t>Master application reference identifier conforming to Dataset 2 (APP001–APP025).</t>
  </si>
  <si>
    <t>Dataset_1.Institution_ID_Mapping</t>
  </si>
  <si>
    <t>Verified institution identifier from Dataset 1 master registry (INST001–INST015).</t>
  </si>
  <si>
    <t>Dataset_1.Name</t>
  </si>
  <si>
    <t>Verified legal name of the higher education institution from Dataset 1.</t>
  </si>
  <si>
    <t>AICTE administrative region (Western, Northern, Eastern, South-Western).</t>
  </si>
  <si>
    <t>Application_Routes.Route_Code</t>
  </si>
  <si>
    <t>Application route pathway governing this application.</t>
  </si>
  <si>
    <t>Current active stage code in the canonical state machine workflow.</t>
  </si>
  <si>
    <t>Role_Permissions.Role_Code</t>
  </si>
  <si>
    <t>Currently tasked stakeholder role code holding workflow action token.</t>
  </si>
  <si>
    <t>Date</t>
  </si>
  <si>
    <t>Official digital lodgement date of the application (blank for DRAFT).</t>
  </si>
  <si>
    <t>Date when application transitioned into current operational stage.</t>
  </si>
  <si>
    <t>Derived</t>
  </si>
  <si>
    <t>Formula-computed elapsed calendar days spent in current stage relative to benchmark date.</t>
  </si>
  <si>
    <t>Stage_Definitions.SLA_Days</t>
  </si>
  <si>
    <t>Formula lookup of permitted SLA duration for current stage from Stage_Definitions.</t>
  </si>
  <si>
    <t>Computed calendar deadline date for stage completion (N/A for terminal stages).</t>
  </si>
  <si>
    <t>Formula-derived compliance status: ON_TRACK, WARNING, BREACHED, COMPLETED.</t>
  </si>
  <si>
    <t>Valid next action triggers permissible from current state.</t>
  </si>
  <si>
    <t>Anticipated stage upon successful completion of current step.</t>
  </si>
  <si>
    <t>Cumulative number of flagged deficiency items.</t>
  </si>
  <si>
    <t>Operational progress notes, inspection summaries, and case status.</t>
  </si>
  <si>
    <t>Data_Dictionary</t>
  </si>
  <si>
    <t>Canonical sheet / table entity name.</t>
  </si>
  <si>
    <t>Programmatic attribute / column name.</t>
  </si>
  <si>
    <t>Storage data type: String, Integer, Boolean, Date, Currency, Formula.</t>
  </si>
  <si>
    <t>Relational constraint: Primary Key, Foreign Key, Unique Key, Descriptive, Derived.</t>
  </si>
  <si>
    <t>Parent entity and field name for relational foreign keys.</t>
  </si>
  <si>
    <t>Whether attribute accepts empty/null values: Yes / No.</t>
  </si>
  <si>
    <t>Business definition, operational rule, and governance context.</t>
  </si>
  <si>
    <t>Validation_Report</t>
  </si>
  <si>
    <t>Test_ID</t>
  </si>
  <si>
    <t>Unique test identifier (e.g. VLD_01).</t>
  </si>
  <si>
    <t>Validation_Category</t>
  </si>
  <si>
    <t>Audit category: Stage Integrity, Route Integrity, Role RBAC, Pipeline Health, Governance.</t>
  </si>
  <si>
    <t>Test_Description</t>
  </si>
  <si>
    <t>Business logic description of the cross-reference integrity test.</t>
  </si>
  <si>
    <t>Total_Evaluated</t>
  </si>
  <si>
    <t>Formula</t>
  </si>
  <si>
    <t>Formula counting total records evaluated by audit rule.</t>
  </si>
  <si>
    <t>Breach_Count</t>
  </si>
  <si>
    <t>Formula counting relational breaches or referential orphan records.</t>
  </si>
  <si>
    <t>Compliance_Rate</t>
  </si>
  <si>
    <t>Percentage of valid records adhering to integrity constraint.</t>
  </si>
  <si>
    <t>Audit_Result</t>
  </si>
  <si>
    <t>Status indicator: PASS (0 breaches) or FAIL (&gt;0 breaches).</t>
  </si>
  <si>
    <t>AICTE WORKFLOW INTEGRITY &amp; REFERENTIAL VALIDATION AUDIT</t>
  </si>
  <si>
    <t>Automated real-time cross-reference validation engine verifying relational schema integrity, foreign keys, and pipeline health across all 7 dataset tables.</t>
  </si>
  <si>
    <t>AUDIT SUMMARY SCORECARD</t>
  </si>
  <si>
    <t>Total Integrity Rules Evaluated</t>
  </si>
  <si>
    <t>Total Referential Breaches</t>
  </si>
  <si>
    <t>Overall Compliance Rate</t>
  </si>
  <si>
    <t>System Integrity Audit Status</t>
  </si>
  <si>
    <t>SCORECARD METRICS</t>
  </si>
  <si>
    <t>RELATIONAL INTEGRITY AUDIT TEST MATRIX</t>
  </si>
  <si>
    <t>VLD_01</t>
  </si>
  <si>
    <t>Stage Integrity</t>
  </si>
  <si>
    <t>Stage Definitions maintain unique, non-blank Stage IDs and canonical Stage Codes</t>
  </si>
  <si>
    <t>VLD_02</t>
  </si>
  <si>
    <t>Transition Endpoints</t>
  </si>
  <si>
    <t>Current Stage (source) references in Transition Rules match valid Stage Codes in Stage Definitions</t>
  </si>
  <si>
    <t>VLD_03</t>
  </si>
  <si>
    <t>Next Stage (target) references in Transition Rules match valid Stage Codes in Stage Definitions</t>
  </si>
  <si>
    <t>VLD_04</t>
  </si>
  <si>
    <t>Stage Assignments</t>
  </si>
  <si>
    <t>Active Stage references in Application Stage Assignment match valid Stage Codes in Stage Definitions</t>
  </si>
  <si>
    <t>VLD_05</t>
  </si>
  <si>
    <t>Route Integrity</t>
  </si>
  <si>
    <t>Assigned Routes in Stage Assignment match Application Routes and Final Outcomes match Stage Definitions</t>
  </si>
  <si>
    <t>VLD_06</t>
  </si>
  <si>
    <t>Application Master</t>
  </si>
  <si>
    <t>Application IDs match master APP001-APP025 and Institution IDs match verified INST001-INST015</t>
  </si>
  <si>
    <t>VLD_07</t>
  </si>
  <si>
    <t>Role RBAC</t>
  </si>
  <si>
    <t>Assigned, Authorized, and Responsible roles across all sheets match valid entries in Role Permissions</t>
  </si>
  <si>
    <t>VLD_08</t>
  </si>
  <si>
    <t>Human Governance</t>
  </si>
  <si>
    <t>Approval and Rejection decisions enforce human task execution with zero automated triggers</t>
  </si>
  <si>
    <t>APPLICATION PIPELINE HEALTH &amp; SLA OPERATIONAL SUMMARY</t>
  </si>
  <si>
    <t>Metric_ID</t>
  </si>
  <si>
    <t>Pipeline_Health_Indicator</t>
  </si>
  <si>
    <t>Evaluated_Dimension</t>
  </si>
  <si>
    <t>Metric_Value</t>
  </si>
  <si>
    <t>Benchmark_Target</t>
  </si>
  <si>
    <t>Operational_Status</t>
  </si>
  <si>
    <t>Action_Recommendation</t>
  </si>
  <si>
    <t>MTR_01</t>
  </si>
  <si>
    <t>Active Application Pipeline</t>
  </si>
  <si>
    <t>Total Applications Processed</t>
  </si>
  <si>
    <t>25 Applications</t>
  </si>
  <si>
    <t>Pipeline operating under standard capacity.</t>
  </si>
  <si>
    <t>MTR_02</t>
  </si>
  <si>
    <t>SLA Compliance: On Track</t>
  </si>
  <si>
    <t>Applications On Schedule</t>
  </si>
  <si>
    <t>&gt;= 10%</t>
  </si>
  <si>
    <t>HEALTHY</t>
  </si>
  <si>
    <t>Within standard statutory operating windows.</t>
  </si>
  <si>
    <t>MTR_03</t>
  </si>
  <si>
    <t>SLA Attention: Warning Window</t>
  </si>
  <si>
    <t>Applications Near Deadline (&lt;=2 days)</t>
  </si>
  <si>
    <t>Monitor Closely</t>
  </si>
  <si>
    <t>ATTENTION</t>
  </si>
  <si>
    <t>Automated reminders dispatched to assigned desk officers.</t>
  </si>
  <si>
    <t>MTR_04</t>
  </si>
  <si>
    <t>SLA Non-Compliance: Breached</t>
  </si>
  <si>
    <t>Applications Exceeding SLA Window</t>
  </si>
  <si>
    <t>0 Target</t>
  </si>
  <si>
    <t>BREACHED</t>
  </si>
  <si>
    <t>Escalated to Standing Appellate Committee for expedited disposal.</t>
  </si>
  <si>
    <t>MTR_05</t>
  </si>
  <si>
    <t>Lifecycle Completed</t>
  </si>
  <si>
    <t>Terminal Approvals / Withdrawn / Rejected</t>
  </si>
  <si>
    <t>Baseline Target</t>
  </si>
  <si>
    <t>RESOLVED</t>
  </si>
  <si>
    <t>Final Council orders published and archived.</t>
  </si>
  <si>
    <t>MTR_06</t>
  </si>
  <si>
    <t>Active Regulatory Deficiencies</t>
  </si>
  <si>
    <t>Applications with Document/Infra Deficiencies</t>
  </si>
  <si>
    <t>Zero Tolerance</t>
  </si>
  <si>
    <t>TRACKED</t>
  </si>
  <si>
    <t>Portal compliance re-submission window active.</t>
  </si>
  <si>
    <t>MTR_07</t>
  </si>
  <si>
    <t>Hibernated Institutions</t>
  </si>
  <si>
    <t>Institutions in Facility Revamp Mode</t>
  </si>
  <si>
    <t>Annual Quota</t>
  </si>
  <si>
    <t>CONTROLLED</t>
  </si>
  <si>
    <t>1-year administrative moratorium granted under regulatory provisions.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</si>
</sst>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₹&quot;#,##,##0"/>
    <numFmt numFmtId="165" formatCode="yyyy-mm-dd"/>
    <numFmt numFmtId="166" formatCode="0.0%"/>
  </numFmts>
  <fonts count="11">
    <font>
      <sz val="10.0"/>
      <color rgb="FF000000"/>
      <name val="Arial"/>
      <scheme val="minor"/>
    </font>
    <font>
      <b/>
      <color rgb="FFFFFFFF"/>
      <name val="Arial"/>
      <scheme val="minor"/>
    </font>
    <font>
      <sz val="10.0"/>
      <color theme="1"/>
      <name val="Roboto"/>
    </font>
    <font>
      <color theme="1"/>
      <name val="Arial"/>
      <scheme val="minor"/>
    </font>
    <font>
      <u/>
      <color rgb="FF0000FF"/>
    </font>
    <font>
      <b/>
      <sz val="13.0"/>
      <color rgb="FF1B365D"/>
      <name val="Roboto"/>
    </font>
    <font>
      <i/>
      <sz val="9.0"/>
      <color rgb="FF5A6B82"/>
      <name val="Roboto"/>
    </font>
    <font>
      <b/>
      <sz val="9.0"/>
      <color rgb="FFFFFFFF"/>
      <name val="Roboto"/>
    </font>
    <font>
      <b/>
      <sz val="12.0"/>
      <color rgb="FF1B365D"/>
      <name val="Roboto"/>
    </font>
    <font>
      <b/>
      <sz val="10.0"/>
      <color rgb="FF1B365D"/>
      <name val="Roboto"/>
    </font>
    <font>
      <b/>
      <sz val="10.0"/>
      <color rgb="FFFFFF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1B365D"/>
        <bgColor rgb="FF1B365D"/>
      </patternFill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  <fill>
      <patternFill patternType="solid">
        <fgColor rgb="FFE8EDF8"/>
        <bgColor rgb="FFE8EDF8"/>
      </patternFill>
    </fill>
    <fill>
      <patternFill patternType="solid">
        <fgColor rgb="FFDCE6F1"/>
        <bgColor rgb="FFDCE6F1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readingOrder="0" vertical="center"/>
    </xf>
    <xf borderId="0" fillId="3" fontId="2" numFmtId="0" xfId="0" applyAlignment="1" applyFill="1" applyFont="1">
      <alignment readingOrder="0" vertical="center"/>
    </xf>
    <xf borderId="0" fillId="3" fontId="2" numFmtId="165" xfId="0" applyAlignment="1" applyFill="1" applyFont="1" applyNumberFormat="1">
      <alignment horizontal="center" readingOrder="0" vertical="center"/>
    </xf>
    <xf borderId="0" fillId="3" fontId="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vertical="center"/>
    </xf>
    <xf borderId="0" fillId="3" fontId="3" numFmtId="0" xfId="0" applyAlignment="1" applyFill="1" applyFont="1">
      <alignment readingOrder="0"/>
    </xf>
    <xf borderId="0" fillId="4" fontId="2" numFmtId="0" xfId="0" applyAlignment="1" applyFill="1" applyFont="1">
      <alignment readingOrder="0" vertical="center"/>
    </xf>
    <xf borderId="0" fillId="4" fontId="2" numFmtId="165" xfId="0" applyAlignment="1" applyFill="1" applyFont="1" applyNumberFormat="1">
      <alignment horizontal="center" readingOrder="0" vertical="center"/>
    </xf>
    <xf borderId="0" fillId="4" fontId="2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vertical="center"/>
    </xf>
    <xf borderId="0" fillId="4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0" fillId="2" fontId="7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vertical="center"/>
    </xf>
    <xf borderId="0" fillId="5" fontId="8" numFmtId="166" xfId="0" applyAlignment="1" applyFill="1" applyFont="1" applyNumberFormat="1">
      <alignment horizontal="center" vertical="center"/>
    </xf>
    <xf borderId="0" fillId="6" fontId="9" numFmtId="0" xfId="0" applyAlignment="1" applyFill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3" numFmtId="0" xfId="0" applyFont="1"/>
    <xf borderId="0" fillId="0" fontId="3" numFmtId="166" xfId="0" applyAlignment="1" applyFont="1" applyNumberFormat="1">
      <alignment horizontal="right"/>
    </xf>
    <xf borderId="0" fillId="6" fontId="9" numFmtId="0" xfId="0" applyAlignment="1" applyFill="1" applyFont="1">
      <alignment vertical="center"/>
    </xf>
    <xf borderId="0" fillId="0" fontId="10" numFmtId="0" xfId="0" applyAlignment="1" applyFont="1">
      <alignment horizontal="center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1B365D"/>
          <bgColor rgb="FF1B365D"/>
        </patternFill>
      </fill>
      <border/>
    </dxf>
    <dxf>
      <font/>
      <fill>
        <patternFill patternType="solid">
          <fgColor rgb="FFF4F7FC"/>
          <bgColor rgb="FFF4F7F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137333"/>
      </font>
      <fill>
        <patternFill patternType="solid">
          <fgColor rgb="FFE6F4EA"/>
          <bgColor rgb="FFE6F4EA"/>
        </patternFill>
      </fill>
      <border/>
    </dxf>
    <dxf>
      <font>
        <b/>
        <color rgb="FF1A73E8"/>
      </font>
      <fill>
        <patternFill patternType="solid">
          <fgColor rgb="FFE8EFFD"/>
          <bgColor rgb="FFE8EFFD"/>
        </patternFill>
      </fill>
      <border/>
    </dxf>
    <dxf>
      <font>
        <b/>
        <color rgb="FFAF5F00"/>
      </font>
      <fill>
        <patternFill patternType="solid">
          <fgColor rgb="FFFDF7DF"/>
          <bgColor rgb="FFFDF7DF"/>
        </patternFill>
      </fill>
      <border/>
    </dxf>
    <dxf>
      <font>
        <b/>
        <color rgb="FFC5211F"/>
      </font>
      <fill>
        <patternFill patternType="solid">
          <fgColor rgb="FFFBE8E6"/>
          <bgColor rgb="FFFBE8E6"/>
        </patternFill>
      </fill>
      <border/>
    </dxf>
  </dxfs>
  <tableStyles count="7">
    <tableStyle count="3" pivot="0" name="Stage_Definitions-style">
      <tableStyleElement dxfId="1" type="headerRow"/>
      <tableStyleElement dxfId="2" type="firstRowStripe"/>
      <tableStyleElement dxfId="3" type="secondRowStripe"/>
    </tableStyle>
    <tableStyle count="3" pivot="0" name="Transition_Rules-style">
      <tableStyleElement dxfId="1" type="headerRow"/>
      <tableStyleElement dxfId="2" type="firstRowStripe"/>
      <tableStyleElement dxfId="3" type="secondRowStripe"/>
    </tableStyle>
    <tableStyle count="3" pivot="0" name="Application_Routes-style">
      <tableStyleElement dxfId="1" type="headerRow"/>
      <tableStyleElement dxfId="2" type="firstRowStripe"/>
      <tableStyleElement dxfId="3" type="secondRowStripe"/>
    </tableStyle>
    <tableStyle count="3" pivot="0" name="Role_Permissions-style">
      <tableStyleElement dxfId="1" type="headerRow"/>
      <tableStyleElement dxfId="2" type="firstRowStripe"/>
      <tableStyleElement dxfId="3" type="secondRowStripe"/>
    </tableStyle>
    <tableStyle count="3" pivot="0" name="Data_Dictionary-style">
      <tableStyleElement dxfId="1" type="headerRow"/>
      <tableStyleElement dxfId="2" type="firstRowStripe"/>
      <tableStyleElement dxfId="3" type="secondRowStripe"/>
    </tableStyle>
    <tableStyle count="3" pivot="0" name="Validation_Report-style">
      <tableStyleElement dxfId="1" type="headerRow"/>
      <tableStyleElement dxfId="2" type="firstRowStripe"/>
      <tableStyleElement dxfId="3" type="secondRowStripe"/>
    </tableStyle>
    <tableStyle count="3" pivot="0" name="Validation_Report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6" displayName="Table_1" name="Table_1" id="1">
  <tableColumns count="13">
    <tableColumn name="Stage_ID" id="1"/>
    <tableColumn name="Stage_Code" id="2"/>
    <tableColumn name="Stage_Name" id="3"/>
    <tableColumn name="Stage_Category" id="4"/>
    <tableColumn name="Stage_Type" id="5"/>
    <tableColumn name="Responsible_Role" id="6"/>
    <tableColumn name="SLA_Days" id="7"/>
    <tableColumn name="Is_Terminal" id="8"/>
    <tableColumn name="Can_Rollback" id="9"/>
    <tableColumn name="Requires_Digital_Signoff" id="10"/>
    <tableColumn name="Escalation_Stage" id="11"/>
    <tableColumn name="Active_Status" id="12"/>
    <tableColumn name="Stage_Description" id="13"/>
  </tableColumns>
  <tableStyleInfo name="Stage_Definitions-style" showColumnStripes="0" showFirstColumn="1" showLastColumn="1" showRowStripes="1"/>
</table>
</file>

<file path=xl/tables/table2.xml><?xml version="1.0" encoding="utf-8"?>
<table xmlns="http://schemas.openxmlformats.org/spreadsheetml/2006/main" ref="A1:O25" displayName="Table_2" name="Table_2" id="2">
  <tableColumns count="15">
    <tableColumn name="Rule_ID" id="1"/>
    <tableColumn name="Current_Stage_Code" id="2"/>
    <tableColumn name="Trigger_Action" id="3"/>
    <tableColumn name="Next_Stage_Code" id="4"/>
    <tableColumn name="Transition_Type" id="5"/>
    <tableColumn name="Authorized_Role" id="6"/>
    <tableColumn name="Precondition_Check" id="7"/>
    <tableColumn name="Requires_Documentation" id="8"/>
    <tableColumn name="Requires_Digital_Signature" id="9"/>
    <tableColumn name="Auto_Transition" id="10"/>
    <tableColumn name="SLA_Reset_Days" id="11"/>
    <tableColumn name="Is_Terminal_Transition" id="12"/>
    <tableColumn name="Audit_Logging_Required" id="13"/>
    <tableColumn name="Rule_Status" id="14"/>
    <tableColumn name="Rule_Description" id="15"/>
  </tableColumns>
  <tableStyleInfo name="Transition_Rules-style" showColumnStripes="0" showFirstColumn="1" showLastColumn="1" showRowStripes="1"/>
</table>
</file>

<file path=xl/tables/table3.xml><?xml version="1.0" encoding="utf-8"?>
<table xmlns="http://schemas.openxmlformats.org/spreadsheetml/2006/main" ref="A1:L5" displayName="Table_3" name="Table_3" id="3">
  <tableColumns count="12">
    <tableColumn name="Route_ID" id="1"/>
    <tableColumn name="Route_Code" id="2"/>
    <tableColumn name="Application_Type" id="3"/>
    <tableColumn name="Eligibility_Criteria" id="4"/>
    <tableColumn name="Entry_Conditions" id="5"/>
    <tableColumn name="Mandatory_Stages_Sequence" id="6"/>
    <tableColumn name="Requires_EVC" id="7"/>
    <tableColumn name="Requires_Affiliation_NOC" id="8"/>
    <tableColumn name="Applicable_TER_Charges_INR" id="9"/>
    <tableColumn name="Target_SLA_Days" id="10"/>
    <tableColumn name="Allowed_Terminal_Outcomes" id="11"/>
    <tableColumn name="Final_Outcome_Stage" id="12"/>
  </tableColumns>
  <tableStyleInfo name="Application_Routes-style" showColumnStripes="0" showFirstColumn="1" showLastColumn="1" showRowStripes="1"/>
</table>
</file>

<file path=xl/tables/table4.xml><?xml version="1.0" encoding="utf-8"?>
<table xmlns="http://schemas.openxmlformats.org/spreadsheetml/2006/main" ref="A1:M12" displayName="Table_4" name="Table_4" id="4">
  <tableColumns count="13">
    <tableColumn name="Role_ID" id="1"/>
    <tableColumn name="Role_Code" id="2"/>
    <tableColumn name="Role_Title" id="3"/>
    <tableColumn name="User_Domain" id="4"/>
    <tableColumn name="Permitted_Stages_Access" id="5"/>
    <tableColumn name="Allowed_Actions" id="6"/>
    <tableColumn name="Operational_Restrictions" id="7"/>
    <tableColumn name="Can_Approve" id="8"/>
    <tableColumn name="Can_Flag_Deficiency" id="9"/>
    <tableColumn name="Can_Issue_Orders" id="10"/>
    <tableColumn name="Can_Upload_Inspection" id="11"/>
    <tableColumn name="Statutory_Decision_Authority" id="12"/>
    <tableColumn name="Access_Level_Description" id="13"/>
  </tableColumns>
  <tableStyleInfo name="Role_Permissions-style" showColumnStripes="0" showFirstColumn="1" showLastColumn="1" showRowStripes="1"/>
</table>
</file>

<file path=xl/tables/table5.xml><?xml version="1.0" encoding="utf-8"?>
<table xmlns="http://schemas.openxmlformats.org/spreadsheetml/2006/main" ref="A1:G85" displayName="Table_5" name="Table_5" id="5">
  <tableColumns count="7">
    <tableColumn name="Table_Name" id="1"/>
    <tableColumn name="Field_Name" id="2"/>
    <tableColumn name="Data_Type" id="3"/>
    <tableColumn name="Key_Type" id="4"/>
    <tableColumn name="Referenced_Table_Field" id="5"/>
    <tableColumn name="Null_Allowed" id="6"/>
    <tableColumn name="Description" id="7"/>
  </tableColumns>
  <tableStyleInfo name="Data_Dictionary-style" showColumnStripes="0" showFirstColumn="1" showLastColumn="1" showRowStripes="1"/>
</table>
</file>

<file path=xl/tables/table6.xml><?xml version="1.0" encoding="utf-8"?>
<table xmlns="http://schemas.openxmlformats.org/spreadsheetml/2006/main" ref="A9:G17" displayName="Table_6" name="Table_6" id="6">
  <tableColumns count="7">
    <tableColumn name="Test_ID" id="1"/>
    <tableColumn name="Validation_Category" id="2"/>
    <tableColumn name="Test_Description" id="3"/>
    <tableColumn name="Total_Evaluated" id="4"/>
    <tableColumn name="Breach_Count" id="5"/>
    <tableColumn name="Compliance_Rate" id="6"/>
    <tableColumn name="Audit_Result" id="7"/>
  </tableColumns>
  <tableStyleInfo name="Validation_Report-style" showColumnStripes="0" showFirstColumn="1" showLastColumn="1" showRowStripes="1"/>
</table>
</file>

<file path=xl/tables/table7.xml><?xml version="1.0" encoding="utf-8"?>
<table xmlns="http://schemas.openxmlformats.org/spreadsheetml/2006/main" headerRowCount="0" ref="A20:G28" displayName="Table_7" name="Table_7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alidation_Report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dataset_1.name" TargetMode="External"/><Relationship Id="rId2" Type="http://schemas.openxmlformats.org/officeDocument/2006/relationships/drawing" Target="../drawings/drawing6.xml"/><Relationship Id="rId4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38"/>
    <col customWidth="1" min="2" max="2" width="16.63"/>
    <col customWidth="1" min="3" max="3" width="29.5"/>
    <col customWidth="1" min="4" max="4" width="17.0"/>
    <col customWidth="1" min="5" max="5" width="10.13"/>
    <col customWidth="1" min="6" max="6" width="24.13"/>
    <col customWidth="1" min="7" max="7" width="8.25"/>
    <col customWidth="1" min="8" max="8" width="9.0"/>
    <col customWidth="1" min="9" max="9" width="10.88"/>
    <col customWidth="1" min="10" max="10" width="18.88"/>
    <col customWidth="1" min="11" max="11" width="16.63"/>
    <col customWidth="1" min="12" max="12" width="11.0"/>
    <col customWidth="1" min="13" max="13" width="7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>
        <v>30.0</v>
      </c>
      <c r="H2" s="3" t="b">
        <v>0</v>
      </c>
      <c r="I2" s="3" t="b">
        <v>0</v>
      </c>
      <c r="J2" s="3" t="b">
        <v>0</v>
      </c>
      <c r="K2" s="4" t="s">
        <v>19</v>
      </c>
      <c r="L2" s="4" t="b">
        <v>1</v>
      </c>
      <c r="M2" s="4" t="s">
        <v>20</v>
      </c>
    </row>
    <row r="3">
      <c r="A3" s="3" t="s">
        <v>21</v>
      </c>
      <c r="B3" s="3" t="s">
        <v>19</v>
      </c>
      <c r="C3" s="3" t="s">
        <v>22</v>
      </c>
      <c r="D3" s="3" t="s">
        <v>23</v>
      </c>
      <c r="E3" s="3" t="s">
        <v>24</v>
      </c>
      <c r="F3" s="3" t="s">
        <v>25</v>
      </c>
      <c r="G3" s="3">
        <v>3.0</v>
      </c>
      <c r="H3" s="3" t="b">
        <v>0</v>
      </c>
      <c r="I3" s="3" t="b">
        <v>0</v>
      </c>
      <c r="J3" s="3" t="b">
        <v>1</v>
      </c>
      <c r="K3" s="4" t="s">
        <v>26</v>
      </c>
      <c r="L3" s="4" t="b">
        <v>1</v>
      </c>
      <c r="M3" s="4" t="s">
        <v>27</v>
      </c>
    </row>
    <row r="4">
      <c r="A4" s="3" t="s">
        <v>28</v>
      </c>
      <c r="B4" s="3" t="s">
        <v>26</v>
      </c>
      <c r="C4" s="3" t="s">
        <v>29</v>
      </c>
      <c r="D4" s="3" t="s">
        <v>23</v>
      </c>
      <c r="E4" s="3" t="s">
        <v>24</v>
      </c>
      <c r="F4" s="3" t="s">
        <v>30</v>
      </c>
      <c r="G4" s="3">
        <v>5.0</v>
      </c>
      <c r="H4" s="3" t="b">
        <v>0</v>
      </c>
      <c r="I4" s="3" t="b">
        <v>1</v>
      </c>
      <c r="J4" s="3" t="b">
        <v>1</v>
      </c>
      <c r="K4" s="4" t="s">
        <v>31</v>
      </c>
      <c r="L4" s="4" t="b">
        <v>1</v>
      </c>
      <c r="M4" s="4" t="s">
        <v>32</v>
      </c>
    </row>
    <row r="5">
      <c r="A5" s="3" t="s">
        <v>33</v>
      </c>
      <c r="B5" s="3" t="s">
        <v>31</v>
      </c>
      <c r="C5" s="3" t="s">
        <v>34</v>
      </c>
      <c r="D5" s="3" t="s">
        <v>35</v>
      </c>
      <c r="E5" s="3" t="s">
        <v>24</v>
      </c>
      <c r="F5" s="3" t="s">
        <v>36</v>
      </c>
      <c r="G5" s="3">
        <v>10.0</v>
      </c>
      <c r="H5" s="3" t="b">
        <v>0</v>
      </c>
      <c r="I5" s="3" t="b">
        <v>0</v>
      </c>
      <c r="J5" s="3" t="b">
        <v>1</v>
      </c>
      <c r="K5" s="4" t="s">
        <v>37</v>
      </c>
      <c r="L5" s="4" t="b">
        <v>1</v>
      </c>
      <c r="M5" s="4" t="s">
        <v>38</v>
      </c>
    </row>
    <row r="6">
      <c r="A6" s="3" t="s">
        <v>39</v>
      </c>
      <c r="B6" s="3" t="s">
        <v>37</v>
      </c>
      <c r="C6" s="3" t="s">
        <v>40</v>
      </c>
      <c r="D6" s="3" t="s">
        <v>41</v>
      </c>
      <c r="E6" s="3" t="s">
        <v>42</v>
      </c>
      <c r="F6" s="3" t="s">
        <v>18</v>
      </c>
      <c r="G6" s="3">
        <v>10.0</v>
      </c>
      <c r="H6" s="3" t="b">
        <v>0</v>
      </c>
      <c r="I6" s="3" t="b">
        <v>1</v>
      </c>
      <c r="J6" s="3" t="b">
        <v>1</v>
      </c>
      <c r="K6" s="4" t="s">
        <v>43</v>
      </c>
      <c r="L6" s="4" t="b">
        <v>1</v>
      </c>
      <c r="M6" s="4" t="s">
        <v>44</v>
      </c>
    </row>
    <row r="7">
      <c r="A7" s="3" t="s">
        <v>45</v>
      </c>
      <c r="B7" s="3" t="s">
        <v>43</v>
      </c>
      <c r="C7" s="3" t="s">
        <v>46</v>
      </c>
      <c r="D7" s="3" t="s">
        <v>35</v>
      </c>
      <c r="E7" s="3" t="s">
        <v>24</v>
      </c>
      <c r="F7" s="3" t="s">
        <v>36</v>
      </c>
      <c r="G7" s="3">
        <v>7.0</v>
      </c>
      <c r="H7" s="3" t="b">
        <v>0</v>
      </c>
      <c r="I7" s="3" t="b">
        <v>0</v>
      </c>
      <c r="J7" s="3" t="b">
        <v>1</v>
      </c>
      <c r="K7" s="4" t="s">
        <v>47</v>
      </c>
      <c r="L7" s="4" t="b">
        <v>1</v>
      </c>
      <c r="M7" s="4" t="s">
        <v>48</v>
      </c>
    </row>
    <row r="8">
      <c r="A8" s="3" t="s">
        <v>49</v>
      </c>
      <c r="B8" s="3" t="s">
        <v>47</v>
      </c>
      <c r="C8" s="3" t="s">
        <v>50</v>
      </c>
      <c r="D8" s="3" t="s">
        <v>51</v>
      </c>
      <c r="E8" s="3" t="s">
        <v>24</v>
      </c>
      <c r="F8" s="3" t="s">
        <v>52</v>
      </c>
      <c r="G8" s="3">
        <v>7.0</v>
      </c>
      <c r="H8" s="3" t="b">
        <v>0</v>
      </c>
      <c r="I8" s="3" t="b">
        <v>0</v>
      </c>
      <c r="J8" s="3" t="b">
        <v>1</v>
      </c>
      <c r="K8" s="4" t="s">
        <v>53</v>
      </c>
      <c r="L8" s="4" t="b">
        <v>1</v>
      </c>
      <c r="M8" s="4" t="s">
        <v>54</v>
      </c>
    </row>
    <row r="9">
      <c r="A9" s="3" t="s">
        <v>55</v>
      </c>
      <c r="B9" s="3" t="s">
        <v>53</v>
      </c>
      <c r="C9" s="3" t="s">
        <v>56</v>
      </c>
      <c r="D9" s="3" t="s">
        <v>51</v>
      </c>
      <c r="E9" s="3" t="s">
        <v>24</v>
      </c>
      <c r="F9" s="3" t="s">
        <v>52</v>
      </c>
      <c r="G9" s="3">
        <v>15.0</v>
      </c>
      <c r="H9" s="3" t="b">
        <v>0</v>
      </c>
      <c r="I9" s="3" t="b">
        <v>0</v>
      </c>
      <c r="J9" s="3" t="b">
        <v>1</v>
      </c>
      <c r="K9" s="4" t="s">
        <v>57</v>
      </c>
      <c r="L9" s="4" t="b">
        <v>1</v>
      </c>
      <c r="M9" s="4" t="s">
        <v>58</v>
      </c>
    </row>
    <row r="10">
      <c r="A10" s="3" t="s">
        <v>59</v>
      </c>
      <c r="B10" s="3" t="s">
        <v>57</v>
      </c>
      <c r="C10" s="3" t="s">
        <v>60</v>
      </c>
      <c r="D10" s="3" t="s">
        <v>51</v>
      </c>
      <c r="E10" s="3" t="s">
        <v>24</v>
      </c>
      <c r="F10" s="3" t="s">
        <v>52</v>
      </c>
      <c r="G10" s="3">
        <v>5.0</v>
      </c>
      <c r="H10" s="3" t="b">
        <v>0</v>
      </c>
      <c r="I10" s="3" t="b">
        <v>0</v>
      </c>
      <c r="J10" s="3" t="b">
        <v>1</v>
      </c>
      <c r="K10" s="4" t="s">
        <v>61</v>
      </c>
      <c r="L10" s="4" t="b">
        <v>1</v>
      </c>
      <c r="M10" s="4" t="s">
        <v>62</v>
      </c>
    </row>
    <row r="11">
      <c r="A11" s="3" t="s">
        <v>63</v>
      </c>
      <c r="B11" s="3" t="s">
        <v>61</v>
      </c>
      <c r="C11" s="3" t="s">
        <v>64</v>
      </c>
      <c r="D11" s="3" t="s">
        <v>35</v>
      </c>
      <c r="E11" s="3" t="s">
        <v>24</v>
      </c>
      <c r="F11" s="3" t="s">
        <v>65</v>
      </c>
      <c r="G11" s="3">
        <v>7.0</v>
      </c>
      <c r="H11" s="3" t="b">
        <v>0</v>
      </c>
      <c r="I11" s="3" t="b">
        <v>0</v>
      </c>
      <c r="J11" s="3" t="b">
        <v>1</v>
      </c>
      <c r="K11" s="4" t="s">
        <v>66</v>
      </c>
      <c r="L11" s="4" t="b">
        <v>1</v>
      </c>
      <c r="M11" s="4" t="s">
        <v>67</v>
      </c>
    </row>
    <row r="12">
      <c r="A12" s="3" t="s">
        <v>68</v>
      </c>
      <c r="B12" s="3" t="s">
        <v>66</v>
      </c>
      <c r="C12" s="3" t="s">
        <v>69</v>
      </c>
      <c r="D12" s="3" t="s">
        <v>70</v>
      </c>
      <c r="E12" s="3" t="s">
        <v>24</v>
      </c>
      <c r="F12" s="3" t="s">
        <v>71</v>
      </c>
      <c r="G12" s="3">
        <v>7.0</v>
      </c>
      <c r="H12" s="3" t="b">
        <v>0</v>
      </c>
      <c r="I12" s="3" t="b">
        <v>0</v>
      </c>
      <c r="J12" s="3" t="b">
        <v>1</v>
      </c>
      <c r="K12" s="4" t="s">
        <v>72</v>
      </c>
      <c r="L12" s="4" t="b">
        <v>1</v>
      </c>
      <c r="M12" s="4" t="s">
        <v>73</v>
      </c>
    </row>
    <row r="13">
      <c r="A13" s="3" t="s">
        <v>74</v>
      </c>
      <c r="B13" s="3" t="s">
        <v>72</v>
      </c>
      <c r="C13" s="3" t="s">
        <v>75</v>
      </c>
      <c r="D13" s="3" t="s">
        <v>70</v>
      </c>
      <c r="E13" s="3" t="s">
        <v>76</v>
      </c>
      <c r="F13" s="3" t="s">
        <v>77</v>
      </c>
      <c r="G13" s="3">
        <v>0.0</v>
      </c>
      <c r="H13" s="3" t="b">
        <v>1</v>
      </c>
      <c r="I13" s="3" t="b">
        <v>0</v>
      </c>
      <c r="J13" s="3" t="b">
        <v>1</v>
      </c>
      <c r="K13" s="4" t="s">
        <v>78</v>
      </c>
      <c r="L13" s="4" t="b">
        <v>1</v>
      </c>
      <c r="M13" s="4" t="s">
        <v>79</v>
      </c>
    </row>
    <row r="14">
      <c r="A14" s="3" t="s">
        <v>80</v>
      </c>
      <c r="B14" s="3" t="s">
        <v>81</v>
      </c>
      <c r="C14" s="3" t="s">
        <v>82</v>
      </c>
      <c r="D14" s="3" t="s">
        <v>70</v>
      </c>
      <c r="E14" s="3" t="s">
        <v>76</v>
      </c>
      <c r="F14" s="3" t="s">
        <v>83</v>
      </c>
      <c r="G14" s="3">
        <v>0.0</v>
      </c>
      <c r="H14" s="3" t="b">
        <v>1</v>
      </c>
      <c r="I14" s="3" t="b">
        <v>0</v>
      </c>
      <c r="J14" s="3" t="b">
        <v>1</v>
      </c>
      <c r="K14" s="4" t="s">
        <v>78</v>
      </c>
      <c r="L14" s="4" t="b">
        <v>1</v>
      </c>
      <c r="M14" s="4" t="s">
        <v>84</v>
      </c>
    </row>
    <row r="15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76</v>
      </c>
      <c r="F15" s="3" t="s">
        <v>18</v>
      </c>
      <c r="G15" s="3">
        <v>0.0</v>
      </c>
      <c r="H15" s="3" t="b">
        <v>1</v>
      </c>
      <c r="I15" s="3" t="b">
        <v>0</v>
      </c>
      <c r="J15" s="3" t="b">
        <v>1</v>
      </c>
      <c r="K15" s="4" t="s">
        <v>78</v>
      </c>
      <c r="L15" s="4" t="b">
        <v>1</v>
      </c>
      <c r="M15" s="4" t="s">
        <v>89</v>
      </c>
    </row>
    <row r="16">
      <c r="A16" s="3" t="s">
        <v>90</v>
      </c>
      <c r="B16" s="3" t="s">
        <v>91</v>
      </c>
      <c r="C16" s="3" t="s">
        <v>92</v>
      </c>
      <c r="D16" s="3" t="s">
        <v>88</v>
      </c>
      <c r="E16" s="3" t="s">
        <v>24</v>
      </c>
      <c r="F16" s="3" t="s">
        <v>71</v>
      </c>
      <c r="G16" s="3">
        <v>365.0</v>
      </c>
      <c r="H16" s="3" t="b">
        <v>0</v>
      </c>
      <c r="I16" s="3" t="b">
        <v>1</v>
      </c>
      <c r="J16" s="3" t="b">
        <v>1</v>
      </c>
      <c r="K16" s="4" t="s">
        <v>31</v>
      </c>
      <c r="L16" s="4" t="b">
        <v>1</v>
      </c>
      <c r="M16" s="4" t="s">
        <v>93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6.63"/>
    <col customWidth="1" min="3" max="3" width="22.88"/>
    <col customWidth="1" min="4" max="4" width="16.63"/>
    <col customWidth="1" min="5" max="5" width="17.88"/>
    <col customWidth="1" min="6" max="6" width="24.13"/>
    <col customWidth="1" min="7" max="7" width="64.38"/>
    <col customWidth="1" min="8" max="8" width="11.0"/>
    <col customWidth="1" min="9" max="9" width="20.63"/>
    <col customWidth="1" min="10" max="10" width="12.5"/>
    <col customWidth="1" min="11" max="11" width="13.13"/>
    <col customWidth="1" min="12" max="12" width="17.5"/>
    <col customWidth="1" min="13" max="13" width="18.75"/>
    <col customWidth="1" min="14" max="14" width="9.63"/>
    <col customWidth="1" min="15" max="15" width="78.25"/>
  </cols>
  <sheetData>
    <row r="1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  <c r="I1" s="1" t="s">
        <v>102</v>
      </c>
      <c r="J1" s="2" t="s">
        <v>103</v>
      </c>
      <c r="K1" s="2" t="s">
        <v>104</v>
      </c>
      <c r="L1" s="2" t="s">
        <v>105</v>
      </c>
      <c r="M1" s="2" t="s">
        <v>106</v>
      </c>
      <c r="N1" s="2" t="s">
        <v>107</v>
      </c>
      <c r="O1" s="2" t="s">
        <v>108</v>
      </c>
    </row>
    <row r="2">
      <c r="A2" s="3" t="s">
        <v>109</v>
      </c>
      <c r="B2" s="3" t="s">
        <v>14</v>
      </c>
      <c r="C2" s="3" t="s">
        <v>110</v>
      </c>
      <c r="D2" s="3" t="s">
        <v>19</v>
      </c>
      <c r="E2" s="3" t="s">
        <v>111</v>
      </c>
      <c r="F2" s="3" t="s">
        <v>18</v>
      </c>
      <c r="G2" s="3" t="s">
        <v>112</v>
      </c>
      <c r="H2" s="3" t="b">
        <v>1</v>
      </c>
      <c r="I2" s="3" t="b">
        <v>1</v>
      </c>
      <c r="J2" s="4" t="b">
        <v>0</v>
      </c>
      <c r="K2" s="4">
        <v>3.0</v>
      </c>
      <c r="L2" s="4" t="b">
        <v>0</v>
      </c>
      <c r="M2" s="4" t="b">
        <v>1</v>
      </c>
      <c r="N2" s="4" t="s">
        <v>113</v>
      </c>
      <c r="O2" s="4" t="s">
        <v>114</v>
      </c>
    </row>
    <row r="3">
      <c r="A3" s="3" t="s">
        <v>115</v>
      </c>
      <c r="B3" s="3" t="s">
        <v>19</v>
      </c>
      <c r="C3" s="3" t="s">
        <v>116</v>
      </c>
      <c r="D3" s="3" t="s">
        <v>26</v>
      </c>
      <c r="E3" s="3" t="s">
        <v>111</v>
      </c>
      <c r="F3" s="3" t="s">
        <v>25</v>
      </c>
      <c r="G3" s="3" t="s">
        <v>117</v>
      </c>
      <c r="H3" s="3" t="b">
        <v>1</v>
      </c>
      <c r="I3" s="3" t="b">
        <v>0</v>
      </c>
      <c r="J3" s="4" t="b">
        <v>0</v>
      </c>
      <c r="K3" s="4">
        <v>5.0</v>
      </c>
      <c r="L3" s="4" t="b">
        <v>0</v>
      </c>
      <c r="M3" s="4" t="b">
        <v>1</v>
      </c>
      <c r="N3" s="4" t="s">
        <v>113</v>
      </c>
      <c r="O3" s="4" t="s">
        <v>118</v>
      </c>
    </row>
    <row r="4">
      <c r="A4" s="3" t="s">
        <v>119</v>
      </c>
      <c r="B4" s="3" t="s">
        <v>26</v>
      </c>
      <c r="C4" s="3" t="s">
        <v>120</v>
      </c>
      <c r="D4" s="3" t="s">
        <v>31</v>
      </c>
      <c r="E4" s="3" t="s">
        <v>111</v>
      </c>
      <c r="F4" s="3" t="s">
        <v>30</v>
      </c>
      <c r="G4" s="3" t="s">
        <v>121</v>
      </c>
      <c r="H4" s="3" t="b">
        <v>1</v>
      </c>
      <c r="I4" s="3" t="b">
        <v>1</v>
      </c>
      <c r="J4" s="4" t="b">
        <v>0</v>
      </c>
      <c r="K4" s="4">
        <v>10.0</v>
      </c>
      <c r="L4" s="4" t="b">
        <v>0</v>
      </c>
      <c r="M4" s="4" t="b">
        <v>1</v>
      </c>
      <c r="N4" s="4" t="s">
        <v>113</v>
      </c>
      <c r="O4" s="4" t="s">
        <v>122</v>
      </c>
    </row>
    <row r="5">
      <c r="A5" s="3" t="s">
        <v>123</v>
      </c>
      <c r="B5" s="3" t="s">
        <v>26</v>
      </c>
      <c r="C5" s="3" t="s">
        <v>124</v>
      </c>
      <c r="D5" s="3" t="s">
        <v>14</v>
      </c>
      <c r="E5" s="3" t="s">
        <v>125</v>
      </c>
      <c r="F5" s="3" t="s">
        <v>30</v>
      </c>
      <c r="G5" s="3" t="s">
        <v>126</v>
      </c>
      <c r="H5" s="3" t="b">
        <v>0</v>
      </c>
      <c r="I5" s="3" t="b">
        <v>0</v>
      </c>
      <c r="J5" s="4" t="b">
        <v>0</v>
      </c>
      <c r="K5" s="4">
        <v>30.0</v>
      </c>
      <c r="L5" s="4" t="b">
        <v>0</v>
      </c>
      <c r="M5" s="4" t="b">
        <v>1</v>
      </c>
      <c r="N5" s="4" t="s">
        <v>113</v>
      </c>
      <c r="O5" s="4" t="s">
        <v>127</v>
      </c>
    </row>
    <row r="6">
      <c r="A6" s="3" t="s">
        <v>128</v>
      </c>
      <c r="B6" s="3" t="s">
        <v>31</v>
      </c>
      <c r="C6" s="3" t="s">
        <v>129</v>
      </c>
      <c r="D6" s="3" t="s">
        <v>61</v>
      </c>
      <c r="E6" s="3" t="s">
        <v>111</v>
      </c>
      <c r="F6" s="3" t="s">
        <v>36</v>
      </c>
      <c r="G6" s="3" t="s">
        <v>130</v>
      </c>
      <c r="H6" s="3" t="b">
        <v>1</v>
      </c>
      <c r="I6" s="3" t="b">
        <v>1</v>
      </c>
      <c r="J6" s="4" t="b">
        <v>0</v>
      </c>
      <c r="K6" s="4">
        <v>7.0</v>
      </c>
      <c r="L6" s="4" t="b">
        <v>0</v>
      </c>
      <c r="M6" s="4" t="b">
        <v>1</v>
      </c>
      <c r="N6" s="4" t="s">
        <v>113</v>
      </c>
      <c r="O6" s="4" t="s">
        <v>131</v>
      </c>
    </row>
    <row r="7">
      <c r="A7" s="3" t="s">
        <v>132</v>
      </c>
      <c r="B7" s="3" t="s">
        <v>31</v>
      </c>
      <c r="C7" s="3" t="s">
        <v>133</v>
      </c>
      <c r="D7" s="3" t="s">
        <v>37</v>
      </c>
      <c r="E7" s="3" t="s">
        <v>134</v>
      </c>
      <c r="F7" s="3" t="s">
        <v>36</v>
      </c>
      <c r="G7" s="3" t="s">
        <v>135</v>
      </c>
      <c r="H7" s="3" t="b">
        <v>1</v>
      </c>
      <c r="I7" s="3" t="b">
        <v>1</v>
      </c>
      <c r="J7" s="4" t="b">
        <v>0</v>
      </c>
      <c r="K7" s="4">
        <v>10.0</v>
      </c>
      <c r="L7" s="4" t="b">
        <v>0</v>
      </c>
      <c r="M7" s="4" t="b">
        <v>1</v>
      </c>
      <c r="N7" s="4" t="s">
        <v>113</v>
      </c>
      <c r="O7" s="4" t="s">
        <v>136</v>
      </c>
    </row>
    <row r="8">
      <c r="A8" s="3" t="s">
        <v>137</v>
      </c>
      <c r="B8" s="3" t="s">
        <v>31</v>
      </c>
      <c r="C8" s="3" t="s">
        <v>138</v>
      </c>
      <c r="D8" s="3" t="s">
        <v>47</v>
      </c>
      <c r="E8" s="3" t="s">
        <v>111</v>
      </c>
      <c r="F8" s="3" t="s">
        <v>36</v>
      </c>
      <c r="G8" s="3" t="s">
        <v>139</v>
      </c>
      <c r="H8" s="3" t="b">
        <v>1</v>
      </c>
      <c r="I8" s="3" t="b">
        <v>1</v>
      </c>
      <c r="J8" s="4" t="b">
        <v>0</v>
      </c>
      <c r="K8" s="4">
        <v>7.0</v>
      </c>
      <c r="L8" s="4" t="b">
        <v>0</v>
      </c>
      <c r="M8" s="4" t="b">
        <v>1</v>
      </c>
      <c r="N8" s="4" t="s">
        <v>113</v>
      </c>
      <c r="O8" s="4" t="s">
        <v>140</v>
      </c>
    </row>
    <row r="9">
      <c r="A9" s="3" t="s">
        <v>141</v>
      </c>
      <c r="B9" s="3" t="s">
        <v>37</v>
      </c>
      <c r="C9" s="3" t="s">
        <v>142</v>
      </c>
      <c r="D9" s="3" t="s">
        <v>43</v>
      </c>
      <c r="E9" s="3" t="s">
        <v>111</v>
      </c>
      <c r="F9" s="3" t="s">
        <v>18</v>
      </c>
      <c r="G9" s="3" t="s">
        <v>143</v>
      </c>
      <c r="H9" s="3" t="b">
        <v>1</v>
      </c>
      <c r="I9" s="3" t="b">
        <v>1</v>
      </c>
      <c r="J9" s="4" t="b">
        <v>0</v>
      </c>
      <c r="K9" s="4">
        <v>7.0</v>
      </c>
      <c r="L9" s="4" t="b">
        <v>0</v>
      </c>
      <c r="M9" s="4" t="b">
        <v>1</v>
      </c>
      <c r="N9" s="4" t="s">
        <v>113</v>
      </c>
      <c r="O9" s="4" t="s">
        <v>144</v>
      </c>
    </row>
    <row r="10">
      <c r="A10" s="3" t="s">
        <v>145</v>
      </c>
      <c r="B10" s="3" t="s">
        <v>37</v>
      </c>
      <c r="C10" s="3" t="s">
        <v>146</v>
      </c>
      <c r="D10" s="3" t="s">
        <v>86</v>
      </c>
      <c r="E10" s="3" t="s">
        <v>147</v>
      </c>
      <c r="F10" s="3" t="s">
        <v>18</v>
      </c>
      <c r="G10" s="3" t="s">
        <v>148</v>
      </c>
      <c r="H10" s="3" t="b">
        <v>1</v>
      </c>
      <c r="I10" s="3" t="b">
        <v>1</v>
      </c>
      <c r="J10" s="4" t="b">
        <v>0</v>
      </c>
      <c r="K10" s="4">
        <v>0.0</v>
      </c>
      <c r="L10" s="4" t="b">
        <v>1</v>
      </c>
      <c r="M10" s="4" t="b">
        <v>1</v>
      </c>
      <c r="N10" s="4" t="s">
        <v>113</v>
      </c>
      <c r="O10" s="4" t="s">
        <v>149</v>
      </c>
    </row>
    <row r="11">
      <c r="A11" s="3" t="s">
        <v>150</v>
      </c>
      <c r="B11" s="3" t="s">
        <v>43</v>
      </c>
      <c r="C11" s="3" t="s">
        <v>151</v>
      </c>
      <c r="D11" s="3" t="s">
        <v>61</v>
      </c>
      <c r="E11" s="3" t="s">
        <v>111</v>
      </c>
      <c r="F11" s="3" t="s">
        <v>36</v>
      </c>
      <c r="G11" s="3" t="s">
        <v>152</v>
      </c>
      <c r="H11" s="3" t="b">
        <v>1</v>
      </c>
      <c r="I11" s="3" t="b">
        <v>1</v>
      </c>
      <c r="J11" s="4" t="b">
        <v>0</v>
      </c>
      <c r="K11" s="4">
        <v>7.0</v>
      </c>
      <c r="L11" s="4" t="b">
        <v>0</v>
      </c>
      <c r="M11" s="4" t="b">
        <v>1</v>
      </c>
      <c r="N11" s="4" t="s">
        <v>113</v>
      </c>
      <c r="O11" s="4" t="s">
        <v>153</v>
      </c>
    </row>
    <row r="12">
      <c r="A12" s="3" t="s">
        <v>154</v>
      </c>
      <c r="B12" s="3" t="s">
        <v>43</v>
      </c>
      <c r="C12" s="3" t="s">
        <v>155</v>
      </c>
      <c r="D12" s="3" t="s">
        <v>47</v>
      </c>
      <c r="E12" s="3" t="s">
        <v>111</v>
      </c>
      <c r="F12" s="3" t="s">
        <v>36</v>
      </c>
      <c r="G12" s="3" t="s">
        <v>156</v>
      </c>
      <c r="H12" s="3" t="b">
        <v>1</v>
      </c>
      <c r="I12" s="3" t="b">
        <v>1</v>
      </c>
      <c r="J12" s="4" t="b">
        <v>0</v>
      </c>
      <c r="K12" s="4">
        <v>7.0</v>
      </c>
      <c r="L12" s="4" t="b">
        <v>0</v>
      </c>
      <c r="M12" s="4" t="b">
        <v>1</v>
      </c>
      <c r="N12" s="4" t="s">
        <v>113</v>
      </c>
      <c r="O12" s="4" t="s">
        <v>157</v>
      </c>
    </row>
    <row r="13">
      <c r="A13" s="3" t="s">
        <v>158</v>
      </c>
      <c r="B13" s="3" t="s">
        <v>43</v>
      </c>
      <c r="C13" s="3" t="s">
        <v>159</v>
      </c>
      <c r="D13" s="3" t="s">
        <v>61</v>
      </c>
      <c r="E13" s="3" t="s">
        <v>134</v>
      </c>
      <c r="F13" s="3" t="s">
        <v>36</v>
      </c>
      <c r="G13" s="3" t="s">
        <v>160</v>
      </c>
      <c r="H13" s="3" t="b">
        <v>1</v>
      </c>
      <c r="I13" s="3" t="b">
        <v>1</v>
      </c>
      <c r="J13" s="4" t="b">
        <v>0</v>
      </c>
      <c r="K13" s="4">
        <v>7.0</v>
      </c>
      <c r="L13" s="4" t="b">
        <v>0</v>
      </c>
      <c r="M13" s="4" t="b">
        <v>1</v>
      </c>
      <c r="N13" s="4" t="s">
        <v>113</v>
      </c>
      <c r="O13" s="4" t="s">
        <v>161</v>
      </c>
    </row>
    <row r="14">
      <c r="A14" s="3" t="s">
        <v>162</v>
      </c>
      <c r="B14" s="3" t="s">
        <v>47</v>
      </c>
      <c r="C14" s="3" t="s">
        <v>163</v>
      </c>
      <c r="D14" s="3" t="s">
        <v>53</v>
      </c>
      <c r="E14" s="3" t="s">
        <v>111</v>
      </c>
      <c r="F14" s="3" t="s">
        <v>52</v>
      </c>
      <c r="G14" s="3" t="s">
        <v>164</v>
      </c>
      <c r="H14" s="3" t="b">
        <v>1</v>
      </c>
      <c r="I14" s="3" t="b">
        <v>0</v>
      </c>
      <c r="J14" s="4" t="b">
        <v>0</v>
      </c>
      <c r="K14" s="4">
        <v>15.0</v>
      </c>
      <c r="L14" s="4" t="b">
        <v>0</v>
      </c>
      <c r="M14" s="4" t="b">
        <v>1</v>
      </c>
      <c r="N14" s="4" t="s">
        <v>113</v>
      </c>
      <c r="O14" s="4" t="s">
        <v>165</v>
      </c>
    </row>
    <row r="15">
      <c r="A15" s="3" t="s">
        <v>166</v>
      </c>
      <c r="B15" s="3" t="s">
        <v>53</v>
      </c>
      <c r="C15" s="3" t="s">
        <v>167</v>
      </c>
      <c r="D15" s="3" t="s">
        <v>57</v>
      </c>
      <c r="E15" s="3" t="s">
        <v>111</v>
      </c>
      <c r="F15" s="3" t="s">
        <v>52</v>
      </c>
      <c r="G15" s="3" t="s">
        <v>168</v>
      </c>
      <c r="H15" s="3" t="b">
        <v>1</v>
      </c>
      <c r="I15" s="3" t="b">
        <v>1</v>
      </c>
      <c r="J15" s="4" t="b">
        <v>0</v>
      </c>
      <c r="K15" s="4">
        <v>5.0</v>
      </c>
      <c r="L15" s="4" t="b">
        <v>0</v>
      </c>
      <c r="M15" s="4" t="b">
        <v>1</v>
      </c>
      <c r="N15" s="4" t="s">
        <v>113</v>
      </c>
      <c r="O15" s="4" t="s">
        <v>169</v>
      </c>
    </row>
    <row r="16">
      <c r="A16" s="3" t="s">
        <v>170</v>
      </c>
      <c r="B16" s="3" t="s">
        <v>57</v>
      </c>
      <c r="C16" s="3" t="s">
        <v>171</v>
      </c>
      <c r="D16" s="3" t="s">
        <v>61</v>
      </c>
      <c r="E16" s="3" t="s">
        <v>111</v>
      </c>
      <c r="F16" s="3" t="s">
        <v>65</v>
      </c>
      <c r="G16" s="3" t="s">
        <v>172</v>
      </c>
      <c r="H16" s="3" t="b">
        <v>1</v>
      </c>
      <c r="I16" s="3" t="b">
        <v>1</v>
      </c>
      <c r="J16" s="4" t="b">
        <v>0</v>
      </c>
      <c r="K16" s="4">
        <v>7.0</v>
      </c>
      <c r="L16" s="4" t="b">
        <v>0</v>
      </c>
      <c r="M16" s="4" t="b">
        <v>1</v>
      </c>
      <c r="N16" s="4" t="s">
        <v>113</v>
      </c>
      <c r="O16" s="4" t="s">
        <v>173</v>
      </c>
    </row>
    <row r="17">
      <c r="A17" s="3" t="s">
        <v>174</v>
      </c>
      <c r="B17" s="3" t="s">
        <v>61</v>
      </c>
      <c r="C17" s="3" t="s">
        <v>175</v>
      </c>
      <c r="D17" s="3" t="s">
        <v>66</v>
      </c>
      <c r="E17" s="3" t="s">
        <v>111</v>
      </c>
      <c r="F17" s="3" t="s">
        <v>65</v>
      </c>
      <c r="G17" s="3" t="s">
        <v>176</v>
      </c>
      <c r="H17" s="3" t="b">
        <v>1</v>
      </c>
      <c r="I17" s="3" t="b">
        <v>1</v>
      </c>
      <c r="J17" s="4" t="b">
        <v>0</v>
      </c>
      <c r="K17" s="4">
        <v>7.0</v>
      </c>
      <c r="L17" s="4" t="b">
        <v>0</v>
      </c>
      <c r="M17" s="4" t="b">
        <v>1</v>
      </c>
      <c r="N17" s="4" t="s">
        <v>113</v>
      </c>
      <c r="O17" s="4" t="s">
        <v>177</v>
      </c>
    </row>
    <row r="18">
      <c r="A18" s="3" t="s">
        <v>178</v>
      </c>
      <c r="B18" s="3" t="s">
        <v>66</v>
      </c>
      <c r="C18" s="3" t="s">
        <v>179</v>
      </c>
      <c r="D18" s="3" t="s">
        <v>72</v>
      </c>
      <c r="E18" s="3" t="s">
        <v>147</v>
      </c>
      <c r="F18" s="3" t="s">
        <v>71</v>
      </c>
      <c r="G18" s="3" t="s">
        <v>180</v>
      </c>
      <c r="H18" s="3" t="b">
        <v>1</v>
      </c>
      <c r="I18" s="3" t="b">
        <v>1</v>
      </c>
      <c r="J18" s="4" t="b">
        <v>0</v>
      </c>
      <c r="K18" s="4">
        <v>0.0</v>
      </c>
      <c r="L18" s="4" t="b">
        <v>1</v>
      </c>
      <c r="M18" s="4" t="b">
        <v>1</v>
      </c>
      <c r="N18" s="4" t="s">
        <v>113</v>
      </c>
      <c r="O18" s="4" t="s">
        <v>181</v>
      </c>
    </row>
    <row r="19">
      <c r="A19" s="3" t="s">
        <v>182</v>
      </c>
      <c r="B19" s="3" t="s">
        <v>66</v>
      </c>
      <c r="C19" s="3" t="s">
        <v>183</v>
      </c>
      <c r="D19" s="3" t="s">
        <v>81</v>
      </c>
      <c r="E19" s="3" t="s">
        <v>147</v>
      </c>
      <c r="F19" s="3" t="s">
        <v>71</v>
      </c>
      <c r="G19" s="3" t="s">
        <v>184</v>
      </c>
      <c r="H19" s="3" t="b">
        <v>1</v>
      </c>
      <c r="I19" s="3" t="b">
        <v>1</v>
      </c>
      <c r="J19" s="4" t="b">
        <v>0</v>
      </c>
      <c r="K19" s="4">
        <v>0.0</v>
      </c>
      <c r="L19" s="4" t="b">
        <v>1</v>
      </c>
      <c r="M19" s="4" t="b">
        <v>1</v>
      </c>
      <c r="N19" s="4" t="s">
        <v>113</v>
      </c>
      <c r="O19" s="4" t="s">
        <v>185</v>
      </c>
    </row>
    <row r="20">
      <c r="A20" s="3" t="s">
        <v>186</v>
      </c>
      <c r="B20" s="3" t="s">
        <v>66</v>
      </c>
      <c r="C20" s="3" t="s">
        <v>187</v>
      </c>
      <c r="D20" s="3" t="s">
        <v>91</v>
      </c>
      <c r="E20" s="3" t="s">
        <v>42</v>
      </c>
      <c r="F20" s="3" t="s">
        <v>71</v>
      </c>
      <c r="G20" s="3" t="s">
        <v>188</v>
      </c>
      <c r="H20" s="3" t="b">
        <v>1</v>
      </c>
      <c r="I20" s="3" t="b">
        <v>1</v>
      </c>
      <c r="J20" s="4" t="b">
        <v>0</v>
      </c>
      <c r="K20" s="4">
        <v>365.0</v>
      </c>
      <c r="L20" s="4" t="b">
        <v>0</v>
      </c>
      <c r="M20" s="4" t="b">
        <v>1</v>
      </c>
      <c r="N20" s="4" t="s">
        <v>113</v>
      </c>
      <c r="O20" s="4" t="s">
        <v>189</v>
      </c>
    </row>
    <row r="21">
      <c r="A21" s="3" t="s">
        <v>190</v>
      </c>
      <c r="B21" s="3" t="s">
        <v>19</v>
      </c>
      <c r="C21" s="3" t="s">
        <v>191</v>
      </c>
      <c r="D21" s="3" t="s">
        <v>86</v>
      </c>
      <c r="E21" s="3" t="s">
        <v>147</v>
      </c>
      <c r="F21" s="3" t="s">
        <v>18</v>
      </c>
      <c r="G21" s="3" t="s">
        <v>192</v>
      </c>
      <c r="H21" s="3" t="b">
        <v>1</v>
      </c>
      <c r="I21" s="3" t="b">
        <v>1</v>
      </c>
      <c r="J21" s="4" t="b">
        <v>0</v>
      </c>
      <c r="K21" s="4">
        <v>0.0</v>
      </c>
      <c r="L21" s="4" t="b">
        <v>1</v>
      </c>
      <c r="M21" s="4" t="b">
        <v>1</v>
      </c>
      <c r="N21" s="4" t="s">
        <v>113</v>
      </c>
      <c r="O21" s="4" t="s">
        <v>193</v>
      </c>
    </row>
    <row r="22">
      <c r="A22" s="3" t="s">
        <v>194</v>
      </c>
      <c r="B22" s="3" t="s">
        <v>72</v>
      </c>
      <c r="C22" s="3" t="s">
        <v>195</v>
      </c>
      <c r="D22" s="3" t="s">
        <v>91</v>
      </c>
      <c r="E22" s="3" t="s">
        <v>42</v>
      </c>
      <c r="F22" s="3" t="s">
        <v>71</v>
      </c>
      <c r="G22" s="3" t="s">
        <v>196</v>
      </c>
      <c r="H22" s="3" t="b">
        <v>1</v>
      </c>
      <c r="I22" s="3" t="b">
        <v>1</v>
      </c>
      <c r="J22" s="4" t="b">
        <v>0</v>
      </c>
      <c r="K22" s="4">
        <v>365.0</v>
      </c>
      <c r="L22" s="4" t="b">
        <v>0</v>
      </c>
      <c r="M22" s="4" t="b">
        <v>1</v>
      </c>
      <c r="N22" s="4" t="s">
        <v>113</v>
      </c>
      <c r="O22" s="4" t="s">
        <v>197</v>
      </c>
    </row>
    <row r="23">
      <c r="A23" s="4" t="s">
        <v>198</v>
      </c>
      <c r="B23" s="4" t="s">
        <v>91</v>
      </c>
      <c r="C23" s="4" t="s">
        <v>199</v>
      </c>
      <c r="D23" s="4" t="s">
        <v>31</v>
      </c>
      <c r="E23" s="4" t="s">
        <v>111</v>
      </c>
      <c r="F23" s="4" t="s">
        <v>71</v>
      </c>
      <c r="G23" s="4" t="s">
        <v>200</v>
      </c>
      <c r="H23" s="4" t="b">
        <v>1</v>
      </c>
      <c r="I23" s="4" t="b">
        <v>1</v>
      </c>
      <c r="J23" s="4" t="b">
        <v>0</v>
      </c>
      <c r="K23" s="4">
        <v>10.0</v>
      </c>
      <c r="L23" s="4" t="b">
        <v>0</v>
      </c>
      <c r="M23" s="4" t="b">
        <v>1</v>
      </c>
      <c r="N23" s="4" t="s">
        <v>113</v>
      </c>
      <c r="O23" s="4" t="s">
        <v>201</v>
      </c>
    </row>
    <row r="24">
      <c r="A24" s="4" t="s">
        <v>202</v>
      </c>
      <c r="B24" s="4" t="s">
        <v>81</v>
      </c>
      <c r="C24" s="4" t="s">
        <v>203</v>
      </c>
      <c r="D24" s="4" t="s">
        <v>66</v>
      </c>
      <c r="E24" s="4" t="s">
        <v>111</v>
      </c>
      <c r="F24" s="4" t="s">
        <v>83</v>
      </c>
      <c r="G24" s="4" t="s">
        <v>204</v>
      </c>
      <c r="H24" s="4" t="b">
        <v>1</v>
      </c>
      <c r="I24" s="4" t="b">
        <v>1</v>
      </c>
      <c r="J24" s="4" t="b">
        <v>0</v>
      </c>
      <c r="K24" s="4">
        <v>7.0</v>
      </c>
      <c r="L24" s="4" t="b">
        <v>0</v>
      </c>
      <c r="M24" s="4" t="b">
        <v>1</v>
      </c>
      <c r="N24" s="4" t="s">
        <v>113</v>
      </c>
      <c r="O24" s="4" t="s">
        <v>205</v>
      </c>
    </row>
    <row r="25">
      <c r="A25" s="4" t="s">
        <v>206</v>
      </c>
      <c r="B25" s="4" t="s">
        <v>66</v>
      </c>
      <c r="C25" s="4" t="s">
        <v>207</v>
      </c>
      <c r="D25" s="4" t="s">
        <v>86</v>
      </c>
      <c r="E25" s="4" t="s">
        <v>147</v>
      </c>
      <c r="F25" s="4" t="s">
        <v>71</v>
      </c>
      <c r="G25" s="4" t="s">
        <v>208</v>
      </c>
      <c r="H25" s="4" t="b">
        <v>1</v>
      </c>
      <c r="I25" s="4" t="b">
        <v>1</v>
      </c>
      <c r="J25" s="4" t="b">
        <v>0</v>
      </c>
      <c r="K25" s="4">
        <v>0.0</v>
      </c>
      <c r="L25" s="4" t="b">
        <v>1</v>
      </c>
      <c r="M25" s="4" t="b">
        <v>1</v>
      </c>
      <c r="N25" s="4" t="s">
        <v>113</v>
      </c>
      <c r="O25" s="4" t="s">
        <v>209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5"/>
    <col customWidth="1" min="2" max="2" width="15.63"/>
    <col customWidth="1" min="3" max="3" width="25.25"/>
    <col customWidth="1" min="4" max="4" width="70.13"/>
    <col customWidth="1" min="5" max="5" width="66.75"/>
    <col customWidth="1" min="6" max="6" width="139.0"/>
    <col customWidth="1" min="7" max="7" width="11.13"/>
    <col customWidth="1" min="8" max="8" width="11.63"/>
    <col customWidth="1" min="9" max="9" width="18.25"/>
    <col customWidth="1" min="10" max="10" width="11.13"/>
    <col customWidth="1" min="11" max="11" width="39.25"/>
    <col customWidth="1" min="12" max="12" width="16.75"/>
  </cols>
  <sheetData>
    <row r="1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2" t="s">
        <v>220</v>
      </c>
      <c r="L1" s="2" t="s">
        <v>221</v>
      </c>
    </row>
    <row r="2">
      <c r="A2" s="3" t="s">
        <v>222</v>
      </c>
      <c r="B2" s="3" t="s">
        <v>223</v>
      </c>
      <c r="C2" s="3" t="s">
        <v>224</v>
      </c>
      <c r="D2" s="3" t="s">
        <v>225</v>
      </c>
      <c r="E2" s="3" t="s">
        <v>226</v>
      </c>
      <c r="F2" s="3" t="s">
        <v>227</v>
      </c>
      <c r="G2" s="3" t="b">
        <v>1</v>
      </c>
      <c r="H2" s="5" t="b">
        <v>1</v>
      </c>
      <c r="I2" s="3" t="s">
        <v>228</v>
      </c>
      <c r="J2" s="3">
        <v>60.0</v>
      </c>
      <c r="K2" s="4" t="s">
        <v>229</v>
      </c>
      <c r="L2" s="4" t="s">
        <v>72</v>
      </c>
    </row>
    <row r="3">
      <c r="A3" s="3" t="s">
        <v>230</v>
      </c>
      <c r="B3" s="3" t="s">
        <v>231</v>
      </c>
      <c r="C3" s="3" t="s">
        <v>232</v>
      </c>
      <c r="D3" s="3" t="s">
        <v>233</v>
      </c>
      <c r="E3" s="3" t="s">
        <v>234</v>
      </c>
      <c r="F3" s="3" t="s">
        <v>235</v>
      </c>
      <c r="G3" s="3" t="b">
        <v>0</v>
      </c>
      <c r="H3" s="5" t="b">
        <v>0</v>
      </c>
      <c r="I3" s="3" t="s">
        <v>236</v>
      </c>
      <c r="J3" s="3">
        <v>30.0</v>
      </c>
      <c r="K3" s="4" t="s">
        <v>237</v>
      </c>
      <c r="L3" s="4" t="s">
        <v>72</v>
      </c>
    </row>
    <row r="4">
      <c r="A4" s="3" t="s">
        <v>238</v>
      </c>
      <c r="B4" s="3" t="s">
        <v>239</v>
      </c>
      <c r="C4" s="3" t="s">
        <v>240</v>
      </c>
      <c r="D4" s="3" t="s">
        <v>241</v>
      </c>
      <c r="E4" s="3" t="s">
        <v>242</v>
      </c>
      <c r="F4" s="3" t="s">
        <v>227</v>
      </c>
      <c r="G4" s="3" t="b">
        <v>1</v>
      </c>
      <c r="H4" s="5" t="b">
        <v>1</v>
      </c>
      <c r="I4" s="3" t="s">
        <v>243</v>
      </c>
      <c r="J4" s="3">
        <v>45.0</v>
      </c>
      <c r="K4" s="4" t="s">
        <v>229</v>
      </c>
      <c r="L4" s="4" t="s">
        <v>72</v>
      </c>
    </row>
    <row r="5">
      <c r="A5" s="3" t="s">
        <v>244</v>
      </c>
      <c r="B5" s="3" t="s">
        <v>245</v>
      </c>
      <c r="C5" s="3" t="s">
        <v>246</v>
      </c>
      <c r="D5" s="3" t="s">
        <v>247</v>
      </c>
      <c r="E5" s="3" t="s">
        <v>248</v>
      </c>
      <c r="F5" s="3" t="s">
        <v>249</v>
      </c>
      <c r="G5" s="3" t="b">
        <v>0</v>
      </c>
      <c r="H5" s="5" t="b">
        <v>1</v>
      </c>
      <c r="I5" s="3" t="s">
        <v>250</v>
      </c>
      <c r="J5" s="3">
        <v>45.0</v>
      </c>
      <c r="K5" s="4" t="s">
        <v>251</v>
      </c>
      <c r="L5" s="4" t="s">
        <v>86</v>
      </c>
    </row>
    <row r="6">
      <c r="A6" s="6"/>
      <c r="B6" s="6"/>
      <c r="C6" s="6"/>
      <c r="D6" s="6"/>
      <c r="E6" s="6"/>
      <c r="F6" s="6"/>
      <c r="G6" s="6"/>
      <c r="H6" s="7"/>
      <c r="I6" s="6"/>
      <c r="J6" s="6"/>
    </row>
    <row r="7">
      <c r="A7" s="6"/>
      <c r="B7" s="6"/>
      <c r="C7" s="6"/>
      <c r="D7" s="6"/>
      <c r="E7" s="6"/>
      <c r="F7" s="6"/>
      <c r="G7" s="6"/>
      <c r="H7" s="7"/>
      <c r="I7" s="6"/>
      <c r="J7" s="6"/>
    </row>
    <row r="8">
      <c r="A8" s="6"/>
      <c r="B8" s="6"/>
      <c r="C8" s="6"/>
      <c r="D8" s="6"/>
      <c r="E8" s="6"/>
      <c r="F8" s="6"/>
      <c r="G8" s="6"/>
      <c r="H8" s="7"/>
      <c r="I8" s="6"/>
      <c r="J8" s="6"/>
    </row>
    <row r="9">
      <c r="A9" s="6"/>
      <c r="B9" s="6"/>
      <c r="C9" s="6"/>
      <c r="D9" s="6"/>
      <c r="E9" s="6"/>
      <c r="F9" s="6"/>
      <c r="G9" s="6"/>
      <c r="H9" s="7"/>
      <c r="I9" s="6"/>
      <c r="J9" s="6"/>
    </row>
    <row r="10">
      <c r="A10" s="6"/>
      <c r="B10" s="6"/>
      <c r="C10" s="6"/>
      <c r="D10" s="6"/>
      <c r="E10" s="6"/>
      <c r="F10" s="6"/>
      <c r="G10" s="6"/>
      <c r="H10" s="7"/>
      <c r="I10" s="6"/>
      <c r="J10" s="6"/>
    </row>
    <row r="11">
      <c r="A11" s="6"/>
      <c r="B11" s="6"/>
      <c r="C11" s="6"/>
      <c r="D11" s="6"/>
      <c r="E11" s="6"/>
      <c r="F11" s="6"/>
      <c r="G11" s="6"/>
      <c r="H11" s="7"/>
      <c r="I11" s="6"/>
      <c r="J11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25.75"/>
    <col customWidth="1" min="3" max="3" width="25.63"/>
    <col customWidth="1" min="4" max="4" width="28.0"/>
    <col customWidth="1" min="5" max="5" width="52.38"/>
    <col customWidth="1" min="6" max="6" width="73.88"/>
    <col customWidth="1" min="7" max="7" width="69.0"/>
    <col customWidth="1" min="8" max="8" width="10.5"/>
    <col customWidth="1" min="9" max="9" width="11.25"/>
    <col customWidth="1" min="10" max="10" width="14.13"/>
    <col customWidth="1" min="11" max="11" width="18.0"/>
    <col customWidth="1" min="12" max="12" width="22.25"/>
    <col customWidth="1" min="13" max="13" width="80.0"/>
  </cols>
  <sheetData>
    <row r="1">
      <c r="A1" s="1" t="s">
        <v>252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257</v>
      </c>
      <c r="G1" s="1" t="s">
        <v>258</v>
      </c>
      <c r="H1" s="1" t="s">
        <v>259</v>
      </c>
      <c r="I1" s="1" t="s">
        <v>260</v>
      </c>
      <c r="J1" s="1" t="s">
        <v>261</v>
      </c>
      <c r="K1" s="2" t="s">
        <v>262</v>
      </c>
      <c r="L1" s="2" t="s">
        <v>263</v>
      </c>
      <c r="M1" s="2" t="s">
        <v>264</v>
      </c>
    </row>
    <row r="2">
      <c r="A2" s="3" t="s">
        <v>265</v>
      </c>
      <c r="B2" s="3" t="s">
        <v>266</v>
      </c>
      <c r="C2" s="3" t="s">
        <v>18</v>
      </c>
      <c r="D2" s="3" t="s">
        <v>267</v>
      </c>
      <c r="E2" s="3" t="s">
        <v>268</v>
      </c>
      <c r="F2" s="3" t="s">
        <v>269</v>
      </c>
      <c r="G2" s="3" t="s">
        <v>270</v>
      </c>
      <c r="H2" s="3" t="b">
        <v>0</v>
      </c>
      <c r="I2" s="3" t="b">
        <v>0</v>
      </c>
      <c r="J2" s="3" t="b">
        <v>0</v>
      </c>
      <c r="K2" s="4" t="b">
        <v>0</v>
      </c>
      <c r="L2" s="4" t="b">
        <v>0</v>
      </c>
      <c r="M2" s="4" t="s">
        <v>271</v>
      </c>
    </row>
    <row r="3">
      <c r="A3" s="3" t="s">
        <v>272</v>
      </c>
      <c r="B3" s="3" t="s">
        <v>273</v>
      </c>
      <c r="C3" s="3" t="s">
        <v>25</v>
      </c>
      <c r="D3" s="3" t="s">
        <v>274</v>
      </c>
      <c r="E3" s="3" t="s">
        <v>275</v>
      </c>
      <c r="F3" s="3" t="s">
        <v>276</v>
      </c>
      <c r="G3" s="3" t="s">
        <v>277</v>
      </c>
      <c r="H3" s="3" t="b">
        <v>0</v>
      </c>
      <c r="I3" s="3" t="b">
        <v>0</v>
      </c>
      <c r="J3" s="3" t="b">
        <v>0</v>
      </c>
      <c r="K3" s="4" t="b">
        <v>0</v>
      </c>
      <c r="L3" s="4" t="b">
        <v>0</v>
      </c>
      <c r="M3" s="4" t="s">
        <v>278</v>
      </c>
    </row>
    <row r="4">
      <c r="A4" s="3" t="s">
        <v>279</v>
      </c>
      <c r="B4" s="3" t="s">
        <v>280</v>
      </c>
      <c r="C4" s="3" t="s">
        <v>30</v>
      </c>
      <c r="D4" s="3" t="s">
        <v>274</v>
      </c>
      <c r="E4" s="3" t="s">
        <v>281</v>
      </c>
      <c r="F4" s="3" t="s">
        <v>282</v>
      </c>
      <c r="G4" s="3" t="s">
        <v>283</v>
      </c>
      <c r="H4" s="3" t="b">
        <v>0</v>
      </c>
      <c r="I4" s="3" t="b">
        <v>0</v>
      </c>
      <c r="J4" s="3" t="b">
        <v>0</v>
      </c>
      <c r="K4" s="4" t="b">
        <v>0</v>
      </c>
      <c r="L4" s="4" t="b">
        <v>0</v>
      </c>
      <c r="M4" s="4" t="s">
        <v>284</v>
      </c>
    </row>
    <row r="5">
      <c r="A5" s="3" t="s">
        <v>285</v>
      </c>
      <c r="B5" s="3" t="s">
        <v>286</v>
      </c>
      <c r="C5" s="3" t="s">
        <v>36</v>
      </c>
      <c r="D5" s="3" t="s">
        <v>287</v>
      </c>
      <c r="E5" s="3" t="s">
        <v>288</v>
      </c>
      <c r="F5" s="3" t="s">
        <v>289</v>
      </c>
      <c r="G5" s="3" t="s">
        <v>290</v>
      </c>
      <c r="H5" s="3" t="b">
        <v>1</v>
      </c>
      <c r="I5" s="3" t="b">
        <v>1</v>
      </c>
      <c r="J5" s="3" t="b">
        <v>0</v>
      </c>
      <c r="K5" s="4" t="b">
        <v>0</v>
      </c>
      <c r="L5" s="4" t="b">
        <v>0</v>
      </c>
      <c r="M5" s="4" t="s">
        <v>291</v>
      </c>
    </row>
    <row r="6">
      <c r="A6" s="3" t="s">
        <v>292</v>
      </c>
      <c r="B6" s="3" t="s">
        <v>293</v>
      </c>
      <c r="C6" s="3" t="s">
        <v>52</v>
      </c>
      <c r="D6" s="3" t="s">
        <v>287</v>
      </c>
      <c r="E6" s="3" t="s">
        <v>294</v>
      </c>
      <c r="F6" s="3" t="s">
        <v>295</v>
      </c>
      <c r="G6" s="3" t="s">
        <v>296</v>
      </c>
      <c r="H6" s="3" t="b">
        <v>1</v>
      </c>
      <c r="I6" s="3" t="b">
        <v>1</v>
      </c>
      <c r="J6" s="3" t="b">
        <v>0</v>
      </c>
      <c r="K6" s="4" t="b">
        <v>1</v>
      </c>
      <c r="L6" s="4" t="b">
        <v>0</v>
      </c>
      <c r="M6" s="4" t="s">
        <v>297</v>
      </c>
    </row>
    <row r="7">
      <c r="A7" s="3" t="s">
        <v>298</v>
      </c>
      <c r="B7" s="3" t="s">
        <v>299</v>
      </c>
      <c r="C7" s="3" t="s">
        <v>65</v>
      </c>
      <c r="D7" s="3" t="s">
        <v>300</v>
      </c>
      <c r="E7" s="3" t="s">
        <v>301</v>
      </c>
      <c r="F7" s="3" t="s">
        <v>302</v>
      </c>
      <c r="G7" s="3" t="s">
        <v>303</v>
      </c>
      <c r="H7" s="3" t="b">
        <v>1</v>
      </c>
      <c r="I7" s="3" t="b">
        <v>0</v>
      </c>
      <c r="J7" s="3" t="b">
        <v>0</v>
      </c>
      <c r="K7" s="4" t="b">
        <v>0</v>
      </c>
      <c r="L7" s="4" t="b">
        <v>0</v>
      </c>
      <c r="M7" s="4" t="s">
        <v>304</v>
      </c>
    </row>
    <row r="8">
      <c r="A8" s="3" t="s">
        <v>305</v>
      </c>
      <c r="B8" s="3" t="s">
        <v>306</v>
      </c>
      <c r="C8" s="3" t="s">
        <v>71</v>
      </c>
      <c r="D8" s="3" t="s">
        <v>307</v>
      </c>
      <c r="E8" s="3" t="s">
        <v>308</v>
      </c>
      <c r="F8" s="3" t="s">
        <v>309</v>
      </c>
      <c r="G8" s="3" t="s">
        <v>310</v>
      </c>
      <c r="H8" s="3" t="b">
        <v>1</v>
      </c>
      <c r="I8" s="3" t="b">
        <v>0</v>
      </c>
      <c r="J8" s="3" t="b">
        <v>1</v>
      </c>
      <c r="K8" s="4" t="b">
        <v>0</v>
      </c>
      <c r="L8" s="4" t="b">
        <v>1</v>
      </c>
      <c r="M8" s="4" t="s">
        <v>311</v>
      </c>
    </row>
    <row r="9">
      <c r="A9" s="3" t="s">
        <v>312</v>
      </c>
      <c r="B9" s="3" t="s">
        <v>313</v>
      </c>
      <c r="C9" s="3" t="s">
        <v>77</v>
      </c>
      <c r="D9" s="3" t="s">
        <v>314</v>
      </c>
      <c r="E9" s="3" t="s">
        <v>315</v>
      </c>
      <c r="F9" s="3" t="s">
        <v>316</v>
      </c>
      <c r="G9" s="3" t="s">
        <v>317</v>
      </c>
      <c r="H9" s="3" t="b">
        <v>0</v>
      </c>
      <c r="I9" s="3" t="b">
        <v>0</v>
      </c>
      <c r="J9" s="3" t="b">
        <v>1</v>
      </c>
      <c r="K9" s="4" t="b">
        <v>0</v>
      </c>
      <c r="L9" s="4" t="b">
        <v>0</v>
      </c>
      <c r="M9" s="4" t="s">
        <v>318</v>
      </c>
    </row>
    <row r="10">
      <c r="A10" s="3" t="s">
        <v>319</v>
      </c>
      <c r="B10" s="3" t="s">
        <v>320</v>
      </c>
      <c r="C10" s="3" t="s">
        <v>83</v>
      </c>
      <c r="D10" s="3" t="s">
        <v>321</v>
      </c>
      <c r="E10" s="3" t="s">
        <v>322</v>
      </c>
      <c r="F10" s="3" t="s">
        <v>323</v>
      </c>
      <c r="G10" s="3" t="s">
        <v>324</v>
      </c>
      <c r="H10" s="3" t="b">
        <v>1</v>
      </c>
      <c r="I10" s="3" t="b">
        <v>0</v>
      </c>
      <c r="J10" s="3" t="b">
        <v>1</v>
      </c>
      <c r="K10" s="4" t="b">
        <v>0</v>
      </c>
      <c r="L10" s="4" t="b">
        <v>1</v>
      </c>
      <c r="M10" s="4" t="s">
        <v>325</v>
      </c>
    </row>
    <row r="11">
      <c r="A11" s="3" t="s">
        <v>326</v>
      </c>
      <c r="B11" s="3" t="s">
        <v>327</v>
      </c>
      <c r="C11" s="3" t="s">
        <v>328</v>
      </c>
      <c r="D11" s="3" t="s">
        <v>329</v>
      </c>
      <c r="E11" s="3" t="s">
        <v>330</v>
      </c>
      <c r="F11" s="3" t="s">
        <v>331</v>
      </c>
      <c r="G11" s="3" t="s">
        <v>332</v>
      </c>
      <c r="H11" s="3" t="b">
        <v>0</v>
      </c>
      <c r="I11" s="3" t="b">
        <v>0</v>
      </c>
      <c r="J11" s="3" t="b">
        <v>0</v>
      </c>
      <c r="K11" s="4" t="b">
        <v>0</v>
      </c>
      <c r="L11" s="4" t="b">
        <v>0</v>
      </c>
      <c r="M11" s="4" t="s">
        <v>333</v>
      </c>
    </row>
    <row r="12">
      <c r="A12" s="4" t="s">
        <v>334</v>
      </c>
      <c r="B12" s="4" t="s">
        <v>335</v>
      </c>
      <c r="C12" s="4" t="s">
        <v>336</v>
      </c>
      <c r="D12" s="4" t="s">
        <v>337</v>
      </c>
      <c r="E12" s="4" t="s">
        <v>338</v>
      </c>
      <c r="F12" s="4" t="s">
        <v>339</v>
      </c>
      <c r="G12" s="4" t="s">
        <v>340</v>
      </c>
      <c r="H12" s="4" t="b">
        <v>0</v>
      </c>
      <c r="I12" s="4" t="b">
        <v>0</v>
      </c>
      <c r="J12" s="4" t="b">
        <v>0</v>
      </c>
      <c r="K12" s="4" t="b">
        <v>0</v>
      </c>
      <c r="L12" s="4" t="b">
        <v>0</v>
      </c>
      <c r="M12" s="4" t="s">
        <v>341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1.5"/>
    <col customWidth="1" min="3" max="3" width="60.75"/>
    <col customWidth="1" min="4" max="4" width="11.5"/>
    <col customWidth="1" min="5" max="5" width="15.63"/>
    <col customWidth="1" min="6" max="6" width="18.38"/>
    <col customWidth="1" min="7" max="7" width="25.75"/>
    <col customWidth="1" min="8" max="8" width="11.13"/>
    <col customWidth="1" min="9" max="9" width="11.38"/>
    <col customWidth="1" min="10" max="10" width="11.0"/>
    <col customWidth="1" min="11" max="11" width="8.25"/>
    <col customWidth="1" min="12" max="12" width="10.0"/>
    <col customWidth="1" min="13" max="13" width="11.0"/>
    <col customWidth="1" min="14" max="14" width="46.0"/>
    <col customWidth="1" min="15" max="15" width="19.25"/>
    <col customWidth="1" min="16" max="16" width="16.25"/>
    <col customWidth="1" min="17" max="17" width="58.5"/>
  </cols>
  <sheetData>
    <row r="1">
      <c r="A1" s="1" t="s">
        <v>342</v>
      </c>
      <c r="B1" s="1" t="s">
        <v>343</v>
      </c>
      <c r="C1" s="1" t="s">
        <v>344</v>
      </c>
      <c r="D1" s="1" t="s">
        <v>345</v>
      </c>
      <c r="E1" s="1" t="s">
        <v>211</v>
      </c>
      <c r="F1" s="1" t="s">
        <v>95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6</v>
      </c>
      <c r="L1" s="1" t="s">
        <v>350</v>
      </c>
      <c r="M1" s="1" t="s">
        <v>351</v>
      </c>
      <c r="N1" s="1" t="s">
        <v>352</v>
      </c>
      <c r="O1" s="2" t="s">
        <v>353</v>
      </c>
      <c r="P1" s="2" t="s">
        <v>354</v>
      </c>
      <c r="Q1" s="2" t="s">
        <v>355</v>
      </c>
    </row>
    <row r="2">
      <c r="A2" s="8" t="s">
        <v>356</v>
      </c>
      <c r="B2" s="8" t="s">
        <v>357</v>
      </c>
      <c r="C2" s="8" t="s">
        <v>358</v>
      </c>
      <c r="D2" s="8" t="s">
        <v>359</v>
      </c>
      <c r="E2" s="8" t="s">
        <v>231</v>
      </c>
      <c r="F2" s="8" t="s">
        <v>14</v>
      </c>
      <c r="G2" s="8" t="s">
        <v>266</v>
      </c>
      <c r="H2" s="9"/>
      <c r="I2" s="9">
        <v>46319.0</v>
      </c>
      <c r="J2" s="10">
        <f t="shared" ref="J2:J26" si="1">IF(ISBLANK(I2), 0, DATE(2026,10,25) - I2)</f>
        <v>1</v>
      </c>
      <c r="K2" s="11">
        <f>VLOOKUP(F2, Stage_Definitions!$B$2:$G$16, 6, FALSE)</f>
        <v>30</v>
      </c>
      <c r="L2" s="11" t="str">
        <f t="shared" ref="L2:L26" si="2">IF(K2=0, "N/A", TEXT(I2+K2, "yyyy-mm-dd"))</f>
        <v>2026-11-23</v>
      </c>
      <c r="M2" s="10" t="str">
        <f t="shared" ref="M2:M26" si="3">IF(K2=0, "COMPLETED", IF(DATE(2026,10,25) &gt; I2+K2, "BREACHED", IF(I2+K2 - DATE(2026,10,25) &lt;= 2, "WARNING", "ON_TRACK")))</f>
        <v>ON_TRACK</v>
      </c>
      <c r="N2" s="8" t="s">
        <v>110</v>
      </c>
      <c r="O2" s="12" t="s">
        <v>19</v>
      </c>
      <c r="P2" s="12">
        <v>0.0</v>
      </c>
      <c r="Q2" s="12" t="s">
        <v>360</v>
      </c>
    </row>
    <row r="3">
      <c r="A3" s="13" t="s">
        <v>361</v>
      </c>
      <c r="B3" s="13" t="s">
        <v>362</v>
      </c>
      <c r="C3" s="13" t="s">
        <v>363</v>
      </c>
      <c r="D3" s="13" t="s">
        <v>359</v>
      </c>
      <c r="E3" s="13" t="s">
        <v>223</v>
      </c>
      <c r="F3" s="13" t="s">
        <v>19</v>
      </c>
      <c r="G3" s="13" t="s">
        <v>273</v>
      </c>
      <c r="H3" s="14">
        <v>46317.0</v>
      </c>
      <c r="I3" s="14">
        <v>46319.0</v>
      </c>
      <c r="J3" s="15">
        <f t="shared" si="1"/>
        <v>1</v>
      </c>
      <c r="K3" s="16">
        <f>VLOOKUP(F3, Stage_Definitions!$B$2:$G$16, 6, FALSE)</f>
        <v>3</v>
      </c>
      <c r="L3" s="16" t="str">
        <f t="shared" si="2"/>
        <v>2026-10-27</v>
      </c>
      <c r="M3" s="15" t="str">
        <f t="shared" si="3"/>
        <v>WARNING</v>
      </c>
      <c r="N3" s="13" t="s">
        <v>364</v>
      </c>
      <c r="O3" s="17" t="s">
        <v>26</v>
      </c>
      <c r="P3" s="17">
        <v>0.0</v>
      </c>
      <c r="Q3" s="17" t="s">
        <v>365</v>
      </c>
    </row>
    <row r="4">
      <c r="A4" s="8" t="s">
        <v>366</v>
      </c>
      <c r="B4" s="8" t="s">
        <v>367</v>
      </c>
      <c r="C4" s="8" t="s">
        <v>368</v>
      </c>
      <c r="D4" s="8" t="s">
        <v>359</v>
      </c>
      <c r="E4" s="8" t="s">
        <v>239</v>
      </c>
      <c r="F4" s="8" t="s">
        <v>26</v>
      </c>
      <c r="G4" s="8" t="s">
        <v>280</v>
      </c>
      <c r="H4" s="9">
        <v>46315.0</v>
      </c>
      <c r="I4" s="9">
        <v>46318.0</v>
      </c>
      <c r="J4" s="10">
        <f t="shared" si="1"/>
        <v>2</v>
      </c>
      <c r="K4" s="11">
        <f>VLOOKUP(F4, Stage_Definitions!$B$2:$G$16, 6, FALSE)</f>
        <v>5</v>
      </c>
      <c r="L4" s="11" t="str">
        <f t="shared" si="2"/>
        <v>2026-10-28</v>
      </c>
      <c r="M4" s="10" t="str">
        <f t="shared" si="3"/>
        <v>ON_TRACK</v>
      </c>
      <c r="N4" s="8" t="s">
        <v>369</v>
      </c>
      <c r="O4" s="12" t="s">
        <v>31</v>
      </c>
      <c r="P4" s="12">
        <v>0.0</v>
      </c>
      <c r="Q4" s="12" t="s">
        <v>370</v>
      </c>
    </row>
    <row r="5">
      <c r="A5" s="13" t="s">
        <v>371</v>
      </c>
      <c r="B5" s="13" t="s">
        <v>372</v>
      </c>
      <c r="C5" s="13" t="s">
        <v>373</v>
      </c>
      <c r="D5" s="13" t="s">
        <v>359</v>
      </c>
      <c r="E5" s="13" t="s">
        <v>231</v>
      </c>
      <c r="F5" s="13" t="s">
        <v>31</v>
      </c>
      <c r="G5" s="13" t="s">
        <v>286</v>
      </c>
      <c r="H5" s="14">
        <v>46313.0</v>
      </c>
      <c r="I5" s="14">
        <v>46317.0</v>
      </c>
      <c r="J5" s="15">
        <f t="shared" si="1"/>
        <v>3</v>
      </c>
      <c r="K5" s="16">
        <f>VLOOKUP(F5, Stage_Definitions!$B$2:$G$16, 6, FALSE)</f>
        <v>10</v>
      </c>
      <c r="L5" s="16" t="str">
        <f t="shared" si="2"/>
        <v>2026-11-01</v>
      </c>
      <c r="M5" s="15" t="str">
        <f t="shared" si="3"/>
        <v>ON_TRACK</v>
      </c>
      <c r="N5" s="13" t="s">
        <v>374</v>
      </c>
      <c r="O5" s="17" t="s">
        <v>61</v>
      </c>
      <c r="P5" s="17">
        <v>0.0</v>
      </c>
      <c r="Q5" s="17" t="s">
        <v>375</v>
      </c>
    </row>
    <row r="6">
      <c r="A6" s="8" t="s">
        <v>376</v>
      </c>
      <c r="B6" s="8" t="s">
        <v>377</v>
      </c>
      <c r="C6" s="8" t="s">
        <v>378</v>
      </c>
      <c r="D6" s="8" t="s">
        <v>359</v>
      </c>
      <c r="E6" s="8" t="s">
        <v>223</v>
      </c>
      <c r="F6" s="8" t="s">
        <v>31</v>
      </c>
      <c r="G6" s="8" t="s">
        <v>286</v>
      </c>
      <c r="H6" s="9">
        <v>46309.0</v>
      </c>
      <c r="I6" s="9">
        <v>46312.0</v>
      </c>
      <c r="J6" s="10">
        <f t="shared" si="1"/>
        <v>8</v>
      </c>
      <c r="K6" s="11">
        <f>VLOOKUP(F6, Stage_Definitions!$B$2:$G$16, 6, FALSE)</f>
        <v>10</v>
      </c>
      <c r="L6" s="11" t="str">
        <f t="shared" si="2"/>
        <v>2026-10-27</v>
      </c>
      <c r="M6" s="10" t="str">
        <f t="shared" si="3"/>
        <v>WARNING</v>
      </c>
      <c r="N6" s="8" t="s">
        <v>379</v>
      </c>
      <c r="O6" s="12" t="s">
        <v>37</v>
      </c>
      <c r="P6" s="12">
        <v>1.0</v>
      </c>
      <c r="Q6" s="12" t="s">
        <v>380</v>
      </c>
    </row>
    <row r="7">
      <c r="A7" s="13" t="s">
        <v>381</v>
      </c>
      <c r="B7" s="13" t="s">
        <v>382</v>
      </c>
      <c r="C7" s="13" t="s">
        <v>383</v>
      </c>
      <c r="D7" s="13" t="s">
        <v>384</v>
      </c>
      <c r="E7" s="13" t="s">
        <v>231</v>
      </c>
      <c r="F7" s="13" t="s">
        <v>37</v>
      </c>
      <c r="G7" s="13" t="s">
        <v>266</v>
      </c>
      <c r="H7" s="14">
        <v>46310.0</v>
      </c>
      <c r="I7" s="14">
        <v>46313.0</v>
      </c>
      <c r="J7" s="15">
        <f t="shared" si="1"/>
        <v>7</v>
      </c>
      <c r="K7" s="16">
        <f>VLOOKUP(F7, Stage_Definitions!$B$2:$G$16, 6, FALSE)</f>
        <v>10</v>
      </c>
      <c r="L7" s="16" t="str">
        <f t="shared" si="2"/>
        <v>2026-10-28</v>
      </c>
      <c r="M7" s="15" t="str">
        <f t="shared" si="3"/>
        <v>ON_TRACK</v>
      </c>
      <c r="N7" s="13" t="s">
        <v>385</v>
      </c>
      <c r="O7" s="17" t="s">
        <v>43</v>
      </c>
      <c r="P7" s="17">
        <v>1.0</v>
      </c>
      <c r="Q7" s="17" t="s">
        <v>386</v>
      </c>
    </row>
    <row r="8">
      <c r="A8" s="8" t="s">
        <v>387</v>
      </c>
      <c r="B8" s="8" t="s">
        <v>388</v>
      </c>
      <c r="C8" s="8" t="s">
        <v>389</v>
      </c>
      <c r="D8" s="8" t="s">
        <v>359</v>
      </c>
      <c r="E8" s="8" t="s">
        <v>223</v>
      </c>
      <c r="F8" s="8" t="s">
        <v>37</v>
      </c>
      <c r="G8" s="8" t="s">
        <v>266</v>
      </c>
      <c r="H8" s="9">
        <v>46305.0</v>
      </c>
      <c r="I8" s="9">
        <v>46309.0</v>
      </c>
      <c r="J8" s="10">
        <f t="shared" si="1"/>
        <v>11</v>
      </c>
      <c r="K8" s="11">
        <f>VLOOKUP(F8, Stage_Definitions!$B$2:$G$16, 6, FALSE)</f>
        <v>10</v>
      </c>
      <c r="L8" s="11" t="str">
        <f t="shared" si="2"/>
        <v>2026-10-24</v>
      </c>
      <c r="M8" s="10" t="str">
        <f t="shared" si="3"/>
        <v>BREACHED</v>
      </c>
      <c r="N8" s="8" t="s">
        <v>385</v>
      </c>
      <c r="O8" s="12" t="s">
        <v>43</v>
      </c>
      <c r="P8" s="12">
        <v>2.0</v>
      </c>
      <c r="Q8" s="12" t="s">
        <v>390</v>
      </c>
    </row>
    <row r="9">
      <c r="A9" s="13" t="s">
        <v>391</v>
      </c>
      <c r="B9" s="13" t="s">
        <v>392</v>
      </c>
      <c r="C9" s="13" t="s">
        <v>393</v>
      </c>
      <c r="D9" s="13" t="s">
        <v>359</v>
      </c>
      <c r="E9" s="13" t="s">
        <v>239</v>
      </c>
      <c r="F9" s="13" t="s">
        <v>37</v>
      </c>
      <c r="G9" s="13" t="s">
        <v>266</v>
      </c>
      <c r="H9" s="14">
        <v>46311.0</v>
      </c>
      <c r="I9" s="14">
        <v>46316.0</v>
      </c>
      <c r="J9" s="15">
        <f t="shared" si="1"/>
        <v>4</v>
      </c>
      <c r="K9" s="16">
        <f>VLOOKUP(F9, Stage_Definitions!$B$2:$G$16, 6, FALSE)</f>
        <v>10</v>
      </c>
      <c r="L9" s="16" t="str">
        <f t="shared" si="2"/>
        <v>2026-10-31</v>
      </c>
      <c r="M9" s="15" t="str">
        <f t="shared" si="3"/>
        <v>ON_TRACK</v>
      </c>
      <c r="N9" s="13" t="s">
        <v>385</v>
      </c>
      <c r="O9" s="17" t="s">
        <v>43</v>
      </c>
      <c r="P9" s="17">
        <v>1.0</v>
      </c>
      <c r="Q9" s="17" t="s">
        <v>394</v>
      </c>
    </row>
    <row r="10">
      <c r="A10" s="8" t="s">
        <v>395</v>
      </c>
      <c r="B10" s="8" t="s">
        <v>396</v>
      </c>
      <c r="C10" s="8" t="s">
        <v>397</v>
      </c>
      <c r="D10" s="8" t="s">
        <v>398</v>
      </c>
      <c r="E10" s="8" t="s">
        <v>231</v>
      </c>
      <c r="F10" s="8" t="s">
        <v>37</v>
      </c>
      <c r="G10" s="8" t="s">
        <v>266</v>
      </c>
      <c r="H10" s="9">
        <v>46307.0</v>
      </c>
      <c r="I10" s="9">
        <v>46311.0</v>
      </c>
      <c r="J10" s="10">
        <f t="shared" si="1"/>
        <v>9</v>
      </c>
      <c r="K10" s="11">
        <f>VLOOKUP(F10, Stage_Definitions!$B$2:$G$16, 6, FALSE)</f>
        <v>10</v>
      </c>
      <c r="L10" s="11" t="str">
        <f t="shared" si="2"/>
        <v>2026-10-26</v>
      </c>
      <c r="M10" s="10" t="str">
        <f t="shared" si="3"/>
        <v>WARNING</v>
      </c>
      <c r="N10" s="8" t="s">
        <v>385</v>
      </c>
      <c r="O10" s="12" t="s">
        <v>43</v>
      </c>
      <c r="P10" s="12">
        <v>1.0</v>
      </c>
      <c r="Q10" s="12" t="s">
        <v>399</v>
      </c>
    </row>
    <row r="11">
      <c r="A11" s="13" t="s">
        <v>400</v>
      </c>
      <c r="B11" s="13" t="s">
        <v>401</v>
      </c>
      <c r="C11" s="13" t="s">
        <v>402</v>
      </c>
      <c r="D11" s="13" t="s">
        <v>398</v>
      </c>
      <c r="E11" s="13" t="s">
        <v>223</v>
      </c>
      <c r="F11" s="13" t="s">
        <v>43</v>
      </c>
      <c r="G11" s="13" t="s">
        <v>286</v>
      </c>
      <c r="H11" s="14">
        <v>46306.0</v>
      </c>
      <c r="I11" s="14">
        <v>46316.0</v>
      </c>
      <c r="J11" s="15">
        <f t="shared" si="1"/>
        <v>4</v>
      </c>
      <c r="K11" s="16">
        <f>VLOOKUP(F11, Stage_Definitions!$B$2:$G$16, 6, FALSE)</f>
        <v>7</v>
      </c>
      <c r="L11" s="16" t="str">
        <f t="shared" si="2"/>
        <v>2026-10-28</v>
      </c>
      <c r="M11" s="15" t="str">
        <f t="shared" si="3"/>
        <v>ON_TRACK</v>
      </c>
      <c r="N11" s="13" t="s">
        <v>403</v>
      </c>
      <c r="O11" s="17" t="s">
        <v>61</v>
      </c>
      <c r="P11" s="17">
        <v>0.0</v>
      </c>
      <c r="Q11" s="17" t="s">
        <v>404</v>
      </c>
    </row>
    <row r="12">
      <c r="A12" s="8" t="s">
        <v>405</v>
      </c>
      <c r="B12" s="8" t="s">
        <v>406</v>
      </c>
      <c r="C12" s="8" t="s">
        <v>407</v>
      </c>
      <c r="D12" s="8" t="s">
        <v>384</v>
      </c>
      <c r="E12" s="8" t="s">
        <v>231</v>
      </c>
      <c r="F12" s="8" t="s">
        <v>43</v>
      </c>
      <c r="G12" s="8" t="s">
        <v>286</v>
      </c>
      <c r="H12" s="9">
        <v>46308.0</v>
      </c>
      <c r="I12" s="9">
        <v>46314.0</v>
      </c>
      <c r="J12" s="10">
        <f t="shared" si="1"/>
        <v>6</v>
      </c>
      <c r="K12" s="11">
        <f>VLOOKUP(F12, Stage_Definitions!$B$2:$G$16, 6, FALSE)</f>
        <v>7</v>
      </c>
      <c r="L12" s="11" t="str">
        <f t="shared" si="2"/>
        <v>2026-10-26</v>
      </c>
      <c r="M12" s="10" t="str">
        <f t="shared" si="3"/>
        <v>WARNING</v>
      </c>
      <c r="N12" s="8" t="s">
        <v>408</v>
      </c>
      <c r="O12" s="12" t="s">
        <v>61</v>
      </c>
      <c r="P12" s="12">
        <v>1.0</v>
      </c>
      <c r="Q12" s="12" t="s">
        <v>409</v>
      </c>
    </row>
    <row r="13">
      <c r="A13" s="13" t="s">
        <v>410</v>
      </c>
      <c r="B13" s="13" t="s">
        <v>411</v>
      </c>
      <c r="C13" s="13" t="s">
        <v>412</v>
      </c>
      <c r="D13" s="13" t="s">
        <v>398</v>
      </c>
      <c r="E13" s="13" t="s">
        <v>223</v>
      </c>
      <c r="F13" s="13" t="s">
        <v>43</v>
      </c>
      <c r="G13" s="13" t="s">
        <v>286</v>
      </c>
      <c r="H13" s="14">
        <v>46312.0</v>
      </c>
      <c r="I13" s="14">
        <v>46318.0</v>
      </c>
      <c r="J13" s="15">
        <f t="shared" si="1"/>
        <v>2</v>
      </c>
      <c r="K13" s="16">
        <f>VLOOKUP(F13, Stage_Definitions!$B$2:$G$16, 6, FALSE)</f>
        <v>7</v>
      </c>
      <c r="L13" s="16" t="str">
        <f t="shared" si="2"/>
        <v>2026-10-30</v>
      </c>
      <c r="M13" s="15" t="str">
        <f t="shared" si="3"/>
        <v>ON_TRACK</v>
      </c>
      <c r="N13" s="13" t="s">
        <v>403</v>
      </c>
      <c r="O13" s="17" t="s">
        <v>47</v>
      </c>
      <c r="P13" s="17">
        <v>0.0</v>
      </c>
      <c r="Q13" s="17" t="s">
        <v>413</v>
      </c>
    </row>
    <row r="14">
      <c r="A14" s="8" t="s">
        <v>414</v>
      </c>
      <c r="B14" s="8" t="s">
        <v>415</v>
      </c>
      <c r="C14" s="8" t="s">
        <v>416</v>
      </c>
      <c r="D14" s="8" t="s">
        <v>417</v>
      </c>
      <c r="E14" s="8" t="s">
        <v>239</v>
      </c>
      <c r="F14" s="8" t="s">
        <v>47</v>
      </c>
      <c r="G14" s="8" t="s">
        <v>293</v>
      </c>
      <c r="H14" s="9">
        <v>46307.0</v>
      </c>
      <c r="I14" s="9">
        <v>46317.0</v>
      </c>
      <c r="J14" s="10">
        <f t="shared" si="1"/>
        <v>3</v>
      </c>
      <c r="K14" s="11">
        <f>VLOOKUP(F14, Stage_Definitions!$B$2:$G$16, 6, FALSE)</f>
        <v>7</v>
      </c>
      <c r="L14" s="11" t="str">
        <f t="shared" si="2"/>
        <v>2026-10-29</v>
      </c>
      <c r="M14" s="10" t="str">
        <f t="shared" si="3"/>
        <v>ON_TRACK</v>
      </c>
      <c r="N14" s="8" t="s">
        <v>163</v>
      </c>
      <c r="O14" s="12" t="s">
        <v>53</v>
      </c>
      <c r="P14" s="12">
        <v>0.0</v>
      </c>
      <c r="Q14" s="12" t="s">
        <v>418</v>
      </c>
    </row>
    <row r="15">
      <c r="A15" s="13" t="s">
        <v>419</v>
      </c>
      <c r="B15" s="13" t="s">
        <v>420</v>
      </c>
      <c r="C15" s="13" t="s">
        <v>421</v>
      </c>
      <c r="D15" s="13" t="s">
        <v>359</v>
      </c>
      <c r="E15" s="13" t="s">
        <v>231</v>
      </c>
      <c r="F15" s="13" t="s">
        <v>53</v>
      </c>
      <c r="G15" s="13" t="s">
        <v>293</v>
      </c>
      <c r="H15" s="14">
        <v>46310.0</v>
      </c>
      <c r="I15" s="14">
        <v>46316.0</v>
      </c>
      <c r="J15" s="15">
        <f t="shared" si="1"/>
        <v>4</v>
      </c>
      <c r="K15" s="16">
        <f>VLOOKUP(F15, Stage_Definitions!$B$2:$G$16, 6, FALSE)</f>
        <v>15</v>
      </c>
      <c r="L15" s="16" t="str">
        <f t="shared" si="2"/>
        <v>2026-11-05</v>
      </c>
      <c r="M15" s="15" t="str">
        <f t="shared" si="3"/>
        <v>ON_TRACK</v>
      </c>
      <c r="N15" s="13" t="s">
        <v>167</v>
      </c>
      <c r="O15" s="17" t="s">
        <v>57</v>
      </c>
      <c r="P15" s="17">
        <v>0.0</v>
      </c>
      <c r="Q15" s="17" t="s">
        <v>422</v>
      </c>
    </row>
    <row r="16">
      <c r="A16" s="8" t="s">
        <v>423</v>
      </c>
      <c r="B16" s="8" t="s">
        <v>424</v>
      </c>
      <c r="C16" s="8" t="s">
        <v>425</v>
      </c>
      <c r="D16" s="8" t="s">
        <v>384</v>
      </c>
      <c r="E16" s="8" t="s">
        <v>223</v>
      </c>
      <c r="F16" s="8" t="s">
        <v>53</v>
      </c>
      <c r="G16" s="8" t="s">
        <v>293</v>
      </c>
      <c r="H16" s="9">
        <v>46305.0</v>
      </c>
      <c r="I16" s="9">
        <v>46313.0</v>
      </c>
      <c r="J16" s="10">
        <f t="shared" si="1"/>
        <v>7</v>
      </c>
      <c r="K16" s="11">
        <f>VLOOKUP(F16, Stage_Definitions!$B$2:$G$16, 6, FALSE)</f>
        <v>15</v>
      </c>
      <c r="L16" s="11" t="str">
        <f t="shared" si="2"/>
        <v>2026-11-02</v>
      </c>
      <c r="M16" s="10" t="str">
        <f t="shared" si="3"/>
        <v>ON_TRACK</v>
      </c>
      <c r="N16" s="8" t="s">
        <v>167</v>
      </c>
      <c r="O16" s="12" t="s">
        <v>57</v>
      </c>
      <c r="P16" s="12">
        <v>0.0</v>
      </c>
      <c r="Q16" s="12" t="s">
        <v>426</v>
      </c>
    </row>
    <row r="17">
      <c r="A17" s="13" t="s">
        <v>427</v>
      </c>
      <c r="B17" s="13" t="s">
        <v>357</v>
      </c>
      <c r="C17" s="13" t="s">
        <v>358</v>
      </c>
      <c r="D17" s="13" t="s">
        <v>359</v>
      </c>
      <c r="E17" s="13" t="s">
        <v>231</v>
      </c>
      <c r="F17" s="13" t="s">
        <v>57</v>
      </c>
      <c r="G17" s="13" t="s">
        <v>293</v>
      </c>
      <c r="H17" s="14">
        <v>46309.0</v>
      </c>
      <c r="I17" s="14">
        <v>46317.0</v>
      </c>
      <c r="J17" s="15">
        <f t="shared" si="1"/>
        <v>3</v>
      </c>
      <c r="K17" s="16">
        <f>VLOOKUP(F17, Stage_Definitions!$B$2:$G$16, 6, FALSE)</f>
        <v>5</v>
      </c>
      <c r="L17" s="16" t="str">
        <f t="shared" si="2"/>
        <v>2026-10-27</v>
      </c>
      <c r="M17" s="15" t="str">
        <f t="shared" si="3"/>
        <v>WARNING</v>
      </c>
      <c r="N17" s="13" t="s">
        <v>171</v>
      </c>
      <c r="O17" s="17" t="s">
        <v>61</v>
      </c>
      <c r="P17" s="17">
        <v>0.0</v>
      </c>
      <c r="Q17" s="17" t="s">
        <v>428</v>
      </c>
    </row>
    <row r="18">
      <c r="A18" s="8" t="s">
        <v>429</v>
      </c>
      <c r="B18" s="8" t="s">
        <v>362</v>
      </c>
      <c r="C18" s="8" t="s">
        <v>363</v>
      </c>
      <c r="D18" s="8" t="s">
        <v>359</v>
      </c>
      <c r="E18" s="8" t="s">
        <v>223</v>
      </c>
      <c r="F18" s="8" t="s">
        <v>61</v>
      </c>
      <c r="G18" s="8" t="s">
        <v>299</v>
      </c>
      <c r="H18" s="9">
        <v>46303.0</v>
      </c>
      <c r="I18" s="9">
        <v>46313.0</v>
      </c>
      <c r="J18" s="10">
        <f t="shared" si="1"/>
        <v>7</v>
      </c>
      <c r="K18" s="11">
        <f>VLOOKUP(F18, Stage_Definitions!$B$2:$G$16, 6, FALSE)</f>
        <v>7</v>
      </c>
      <c r="L18" s="11" t="str">
        <f t="shared" si="2"/>
        <v>2026-10-25</v>
      </c>
      <c r="M18" s="10" t="str">
        <f t="shared" si="3"/>
        <v>WARNING</v>
      </c>
      <c r="N18" s="8" t="s">
        <v>175</v>
      </c>
      <c r="O18" s="12" t="s">
        <v>66</v>
      </c>
      <c r="P18" s="12">
        <v>0.0</v>
      </c>
      <c r="Q18" s="12" t="s">
        <v>430</v>
      </c>
    </row>
    <row r="19">
      <c r="A19" s="13" t="s">
        <v>431</v>
      </c>
      <c r="B19" s="13" t="s">
        <v>367</v>
      </c>
      <c r="C19" s="13" t="s">
        <v>368</v>
      </c>
      <c r="D19" s="13" t="s">
        <v>359</v>
      </c>
      <c r="E19" s="13" t="s">
        <v>239</v>
      </c>
      <c r="F19" s="13" t="s">
        <v>61</v>
      </c>
      <c r="G19" s="13" t="s">
        <v>299</v>
      </c>
      <c r="H19" s="14">
        <v>46301.0</v>
      </c>
      <c r="I19" s="14">
        <v>46310.0</v>
      </c>
      <c r="J19" s="15">
        <f t="shared" si="1"/>
        <v>10</v>
      </c>
      <c r="K19" s="16">
        <f>VLOOKUP(F19, Stage_Definitions!$B$2:$G$16, 6, FALSE)</f>
        <v>7</v>
      </c>
      <c r="L19" s="16" t="str">
        <f t="shared" si="2"/>
        <v>2026-10-22</v>
      </c>
      <c r="M19" s="15" t="str">
        <f t="shared" si="3"/>
        <v>BREACHED</v>
      </c>
      <c r="N19" s="13" t="s">
        <v>175</v>
      </c>
      <c r="O19" s="17" t="s">
        <v>66</v>
      </c>
      <c r="P19" s="17">
        <v>0.0</v>
      </c>
      <c r="Q19" s="17" t="s">
        <v>432</v>
      </c>
    </row>
    <row r="20">
      <c r="A20" s="8" t="s">
        <v>433</v>
      </c>
      <c r="B20" s="8" t="s">
        <v>372</v>
      </c>
      <c r="C20" s="8" t="s">
        <v>373</v>
      </c>
      <c r="D20" s="8" t="s">
        <v>359</v>
      </c>
      <c r="E20" s="8" t="s">
        <v>231</v>
      </c>
      <c r="F20" s="8" t="s">
        <v>66</v>
      </c>
      <c r="G20" s="8" t="s">
        <v>306</v>
      </c>
      <c r="H20" s="9">
        <v>46307.0</v>
      </c>
      <c r="I20" s="9">
        <v>46316.0</v>
      </c>
      <c r="J20" s="10">
        <f t="shared" si="1"/>
        <v>4</v>
      </c>
      <c r="K20" s="11">
        <f>VLOOKUP(F20, Stage_Definitions!$B$2:$G$16, 6, FALSE)</f>
        <v>7</v>
      </c>
      <c r="L20" s="11" t="str">
        <f t="shared" si="2"/>
        <v>2026-10-28</v>
      </c>
      <c r="M20" s="10" t="str">
        <f t="shared" si="3"/>
        <v>ON_TRACK</v>
      </c>
      <c r="N20" s="8" t="s">
        <v>434</v>
      </c>
      <c r="O20" s="12" t="s">
        <v>72</v>
      </c>
      <c r="P20" s="12">
        <v>0.0</v>
      </c>
      <c r="Q20" s="12" t="s">
        <v>435</v>
      </c>
    </row>
    <row r="21">
      <c r="A21" s="13" t="s">
        <v>436</v>
      </c>
      <c r="B21" s="13" t="s">
        <v>377</v>
      </c>
      <c r="C21" s="13" t="s">
        <v>378</v>
      </c>
      <c r="D21" s="13" t="s">
        <v>359</v>
      </c>
      <c r="E21" s="13" t="s">
        <v>223</v>
      </c>
      <c r="F21" s="13" t="s">
        <v>66</v>
      </c>
      <c r="G21" s="13" t="s">
        <v>306</v>
      </c>
      <c r="H21" s="14">
        <v>46309.0</v>
      </c>
      <c r="I21" s="14">
        <v>46318.0</v>
      </c>
      <c r="J21" s="15">
        <f t="shared" si="1"/>
        <v>2</v>
      </c>
      <c r="K21" s="16">
        <f>VLOOKUP(F21, Stage_Definitions!$B$2:$G$16, 6, FALSE)</f>
        <v>7</v>
      </c>
      <c r="L21" s="16" t="str">
        <f t="shared" si="2"/>
        <v>2026-10-30</v>
      </c>
      <c r="M21" s="15" t="str">
        <f t="shared" si="3"/>
        <v>ON_TRACK</v>
      </c>
      <c r="N21" s="13" t="s">
        <v>434</v>
      </c>
      <c r="O21" s="17" t="s">
        <v>72</v>
      </c>
      <c r="P21" s="17">
        <v>0.0</v>
      </c>
      <c r="Q21" s="17" t="s">
        <v>437</v>
      </c>
    </row>
    <row r="22">
      <c r="A22" s="8" t="s">
        <v>438</v>
      </c>
      <c r="B22" s="8" t="s">
        <v>382</v>
      </c>
      <c r="C22" s="8" t="s">
        <v>383</v>
      </c>
      <c r="D22" s="8" t="s">
        <v>384</v>
      </c>
      <c r="E22" s="8" t="s">
        <v>231</v>
      </c>
      <c r="F22" s="8" t="s">
        <v>72</v>
      </c>
      <c r="G22" s="8" t="s">
        <v>313</v>
      </c>
      <c r="H22" s="9">
        <v>46300.0</v>
      </c>
      <c r="I22" s="9">
        <v>46311.0</v>
      </c>
      <c r="J22" s="10">
        <f t="shared" si="1"/>
        <v>9</v>
      </c>
      <c r="K22" s="11">
        <f>VLOOKUP(F22, Stage_Definitions!$B$2:$G$16, 6, FALSE)</f>
        <v>0</v>
      </c>
      <c r="L22" s="11" t="str">
        <f t="shared" si="2"/>
        <v>N/A</v>
      </c>
      <c r="M22" s="10" t="str">
        <f t="shared" si="3"/>
        <v>COMPLETED</v>
      </c>
      <c r="N22" s="8" t="s">
        <v>439</v>
      </c>
      <c r="O22" s="12" t="s">
        <v>440</v>
      </c>
      <c r="P22" s="12">
        <v>0.0</v>
      </c>
      <c r="Q22" s="12" t="s">
        <v>441</v>
      </c>
    </row>
    <row r="23">
      <c r="A23" s="13" t="s">
        <v>442</v>
      </c>
      <c r="B23" s="13" t="s">
        <v>388</v>
      </c>
      <c r="C23" s="13" t="s">
        <v>389</v>
      </c>
      <c r="D23" s="13" t="s">
        <v>359</v>
      </c>
      <c r="E23" s="13" t="s">
        <v>223</v>
      </c>
      <c r="F23" s="13" t="s">
        <v>72</v>
      </c>
      <c r="G23" s="13" t="s">
        <v>313</v>
      </c>
      <c r="H23" s="14">
        <v>46299.0</v>
      </c>
      <c r="I23" s="14">
        <v>46310.0</v>
      </c>
      <c r="J23" s="15">
        <f t="shared" si="1"/>
        <v>10</v>
      </c>
      <c r="K23" s="16">
        <f>VLOOKUP(F23, Stage_Definitions!$B$2:$G$16, 6, FALSE)</f>
        <v>0</v>
      </c>
      <c r="L23" s="16" t="str">
        <f t="shared" si="2"/>
        <v>N/A</v>
      </c>
      <c r="M23" s="15" t="str">
        <f t="shared" si="3"/>
        <v>COMPLETED</v>
      </c>
      <c r="N23" s="13" t="s">
        <v>439</v>
      </c>
      <c r="O23" s="17" t="s">
        <v>440</v>
      </c>
      <c r="P23" s="17">
        <v>0.0</v>
      </c>
      <c r="Q23" s="17" t="s">
        <v>443</v>
      </c>
    </row>
    <row r="24">
      <c r="A24" s="8" t="s">
        <v>444</v>
      </c>
      <c r="B24" s="8" t="s">
        <v>392</v>
      </c>
      <c r="C24" s="8" t="s">
        <v>393</v>
      </c>
      <c r="D24" s="8" t="s">
        <v>359</v>
      </c>
      <c r="E24" s="8" t="s">
        <v>239</v>
      </c>
      <c r="F24" s="8" t="s">
        <v>72</v>
      </c>
      <c r="G24" s="8" t="s">
        <v>313</v>
      </c>
      <c r="H24" s="9">
        <v>46298.0</v>
      </c>
      <c r="I24" s="9">
        <v>46309.0</v>
      </c>
      <c r="J24" s="10">
        <f t="shared" si="1"/>
        <v>11</v>
      </c>
      <c r="K24" s="11">
        <f>VLOOKUP(F24, Stage_Definitions!$B$2:$G$16, 6, FALSE)</f>
        <v>0</v>
      </c>
      <c r="L24" s="11" t="str">
        <f t="shared" si="2"/>
        <v>N/A</v>
      </c>
      <c r="M24" s="10" t="str">
        <f t="shared" si="3"/>
        <v>COMPLETED</v>
      </c>
      <c r="N24" s="8" t="s">
        <v>439</v>
      </c>
      <c r="O24" s="12" t="s">
        <v>440</v>
      </c>
      <c r="P24" s="12">
        <v>0.0</v>
      </c>
      <c r="Q24" s="12" t="s">
        <v>445</v>
      </c>
    </row>
    <row r="25">
      <c r="A25" s="13" t="s">
        <v>446</v>
      </c>
      <c r="B25" s="13" t="s">
        <v>396</v>
      </c>
      <c r="C25" s="13" t="s">
        <v>397</v>
      </c>
      <c r="D25" s="13" t="s">
        <v>398</v>
      </c>
      <c r="E25" s="13" t="s">
        <v>231</v>
      </c>
      <c r="F25" s="13" t="s">
        <v>81</v>
      </c>
      <c r="G25" s="13" t="s">
        <v>320</v>
      </c>
      <c r="H25" s="14">
        <v>46297.0</v>
      </c>
      <c r="I25" s="14">
        <v>46311.0</v>
      </c>
      <c r="J25" s="15">
        <f t="shared" si="1"/>
        <v>9</v>
      </c>
      <c r="K25" s="16">
        <f>VLOOKUP(F25, Stage_Definitions!$B$2:$G$16, 6, FALSE)</f>
        <v>0</v>
      </c>
      <c r="L25" s="16" t="str">
        <f t="shared" si="2"/>
        <v>N/A</v>
      </c>
      <c r="M25" s="15" t="str">
        <f t="shared" si="3"/>
        <v>COMPLETED</v>
      </c>
      <c r="N25" s="13" t="s">
        <v>447</v>
      </c>
      <c r="O25" s="17" t="s">
        <v>440</v>
      </c>
      <c r="P25" s="17">
        <v>2.0</v>
      </c>
      <c r="Q25" s="17" t="s">
        <v>448</v>
      </c>
    </row>
    <row r="26">
      <c r="A26" s="8" t="s">
        <v>449</v>
      </c>
      <c r="B26" s="8" t="s">
        <v>424</v>
      </c>
      <c r="C26" s="8" t="s">
        <v>425</v>
      </c>
      <c r="D26" s="8" t="s">
        <v>384</v>
      </c>
      <c r="E26" s="8" t="s">
        <v>239</v>
      </c>
      <c r="F26" s="8" t="s">
        <v>81</v>
      </c>
      <c r="G26" s="8" t="s">
        <v>320</v>
      </c>
      <c r="H26" s="9">
        <v>46296.0</v>
      </c>
      <c r="I26" s="9">
        <v>46310.0</v>
      </c>
      <c r="J26" s="10">
        <f t="shared" si="1"/>
        <v>10</v>
      </c>
      <c r="K26" s="11">
        <f>VLOOKUP(F26, Stage_Definitions!$B$2:$G$16, 6, FALSE)</f>
        <v>0</v>
      </c>
      <c r="L26" s="11" t="str">
        <f t="shared" si="2"/>
        <v>N/A</v>
      </c>
      <c r="M26" s="10" t="str">
        <f t="shared" si="3"/>
        <v>COMPLETED</v>
      </c>
      <c r="N26" s="8" t="s">
        <v>447</v>
      </c>
      <c r="O26" s="12" t="s">
        <v>440</v>
      </c>
      <c r="P26" s="12">
        <v>3.0</v>
      </c>
      <c r="Q26" s="12" t="s">
        <v>450</v>
      </c>
    </row>
  </sheetData>
  <autoFilter ref="$A$1:$Q$26"/>
  <conditionalFormatting sqref="L2:L26">
    <cfRule type="cellIs" dxfId="4" priority="1" stopIfTrue="1" operator="equal">
      <formula>"COMPLETED"</formula>
    </cfRule>
  </conditionalFormatting>
  <conditionalFormatting sqref="L2:L26">
    <cfRule type="cellIs" dxfId="5" priority="2" stopIfTrue="1" operator="equal">
      <formula>"ON_TRACK"</formula>
    </cfRule>
  </conditionalFormatting>
  <conditionalFormatting sqref="L2:L26">
    <cfRule type="cellIs" dxfId="6" priority="3" stopIfTrue="1" operator="equal">
      <formula>"WARNING"</formula>
    </cfRule>
  </conditionalFormatting>
  <conditionalFormatting sqref="L2:L26">
    <cfRule type="cellIs" dxfId="7" priority="4" stopIfTrue="1" operator="equal">
      <formula>"BREACHED"</formula>
    </cfRule>
  </conditionalFormatting>
  <dataValidations>
    <dataValidation type="list" allowBlank="1" sqref="E2:E26">
      <formula1>"ROUTE_NEW_INST,ROUTE_EOA_STD,ROUTE_INC_INTAKE,ROUTE_CLOSURE"</formula1>
    </dataValidation>
    <dataValidation type="list" allowBlank="1" sqref="F2:F26">
      <formula1>"DRAFT,TER_PAYMENT_PENDING,SUBMITTED,SCRUTINY_PENDING,SCRUTINY_DEFICIENCY,SCRUTINY_RECOMMENDED,EVC_PENDING,EVC_COMPLETED,SAC_REVIEW,EC_APPROVAL_PENDING,LOA_ISSUED,EOA_ISSUED,REJECTED,WITHDRAWN,HIBERNATED"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22.25"/>
    <col customWidth="1" min="3" max="3" width="8.5"/>
    <col customWidth="1" min="4" max="4" width="9.63"/>
    <col customWidth="1" min="5" max="5" width="25.13"/>
    <col customWidth="1" min="6" max="6" width="10.5"/>
    <col customWidth="1" min="7" max="7" width="82.88"/>
  </cols>
  <sheetData>
    <row r="1">
      <c r="A1" s="1" t="s">
        <v>451</v>
      </c>
      <c r="B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</row>
    <row r="2">
      <c r="A2" s="3" t="s">
        <v>458</v>
      </c>
      <c r="B2" s="3" t="s">
        <v>0</v>
      </c>
      <c r="C2" s="3" t="s">
        <v>459</v>
      </c>
      <c r="D2" s="3" t="s">
        <v>460</v>
      </c>
      <c r="E2" s="3" t="s">
        <v>461</v>
      </c>
      <c r="F2" s="3" t="s">
        <v>462</v>
      </c>
      <c r="G2" s="3" t="s">
        <v>463</v>
      </c>
    </row>
    <row r="3">
      <c r="A3" s="3" t="s">
        <v>458</v>
      </c>
      <c r="B3" s="3" t="s">
        <v>1</v>
      </c>
      <c r="C3" s="3" t="s">
        <v>459</v>
      </c>
      <c r="D3" s="3" t="s">
        <v>464</v>
      </c>
      <c r="E3" s="3" t="s">
        <v>461</v>
      </c>
      <c r="F3" s="3" t="s">
        <v>462</v>
      </c>
      <c r="G3" s="3" t="s">
        <v>465</v>
      </c>
    </row>
    <row r="4">
      <c r="A4" s="3" t="s">
        <v>458</v>
      </c>
      <c r="B4" s="3" t="s">
        <v>2</v>
      </c>
      <c r="C4" s="3" t="s">
        <v>459</v>
      </c>
      <c r="D4" s="3" t="s">
        <v>466</v>
      </c>
      <c r="E4" s="3" t="s">
        <v>461</v>
      </c>
      <c r="F4" s="3" t="s">
        <v>462</v>
      </c>
      <c r="G4" s="3" t="s">
        <v>467</v>
      </c>
    </row>
    <row r="5">
      <c r="A5" s="3" t="s">
        <v>458</v>
      </c>
      <c r="B5" s="3" t="s">
        <v>3</v>
      </c>
      <c r="C5" s="3" t="s">
        <v>459</v>
      </c>
      <c r="D5" s="3" t="s">
        <v>466</v>
      </c>
      <c r="E5" s="3" t="s">
        <v>461</v>
      </c>
      <c r="F5" s="3" t="s">
        <v>462</v>
      </c>
      <c r="G5" s="3" t="s">
        <v>468</v>
      </c>
    </row>
    <row r="6">
      <c r="A6" s="3" t="s">
        <v>458</v>
      </c>
      <c r="B6" s="3" t="s">
        <v>4</v>
      </c>
      <c r="C6" s="3" t="s">
        <v>459</v>
      </c>
      <c r="D6" s="3" t="s">
        <v>466</v>
      </c>
      <c r="E6" s="3" t="s">
        <v>461</v>
      </c>
      <c r="F6" s="3" t="s">
        <v>462</v>
      </c>
      <c r="G6" s="3" t="s">
        <v>469</v>
      </c>
    </row>
    <row r="7">
      <c r="A7" s="3" t="s">
        <v>458</v>
      </c>
      <c r="B7" s="3" t="s">
        <v>5</v>
      </c>
      <c r="C7" s="3" t="s">
        <v>459</v>
      </c>
      <c r="D7" s="3" t="s">
        <v>470</v>
      </c>
      <c r="E7" s="3" t="s">
        <v>471</v>
      </c>
      <c r="F7" s="3" t="s">
        <v>462</v>
      </c>
      <c r="G7" s="3" t="s">
        <v>472</v>
      </c>
    </row>
    <row r="8">
      <c r="A8" s="3" t="s">
        <v>458</v>
      </c>
      <c r="B8" s="3" t="s">
        <v>6</v>
      </c>
      <c r="C8" s="3" t="s">
        <v>473</v>
      </c>
      <c r="D8" s="3" t="s">
        <v>466</v>
      </c>
      <c r="E8" s="3" t="s">
        <v>461</v>
      </c>
      <c r="F8" s="3" t="s">
        <v>462</v>
      </c>
      <c r="G8" s="3" t="s">
        <v>474</v>
      </c>
    </row>
    <row r="9">
      <c r="A9" s="3" t="s">
        <v>458</v>
      </c>
      <c r="B9" s="3" t="s">
        <v>7</v>
      </c>
      <c r="C9" s="3" t="s">
        <v>475</v>
      </c>
      <c r="D9" s="3" t="s">
        <v>466</v>
      </c>
      <c r="E9" s="3" t="s">
        <v>461</v>
      </c>
      <c r="F9" s="3" t="s">
        <v>462</v>
      </c>
      <c r="G9" s="3" t="s">
        <v>476</v>
      </c>
    </row>
    <row r="10">
      <c r="A10" s="3" t="s">
        <v>458</v>
      </c>
      <c r="B10" s="3" t="s">
        <v>8</v>
      </c>
      <c r="C10" s="3" t="s">
        <v>475</v>
      </c>
      <c r="D10" s="3" t="s">
        <v>466</v>
      </c>
      <c r="E10" s="3" t="s">
        <v>461</v>
      </c>
      <c r="F10" s="3" t="s">
        <v>462</v>
      </c>
      <c r="G10" s="3" t="s">
        <v>477</v>
      </c>
    </row>
    <row r="11">
      <c r="A11" s="3" t="s">
        <v>458</v>
      </c>
      <c r="B11" s="3" t="s">
        <v>9</v>
      </c>
      <c r="C11" s="3" t="s">
        <v>475</v>
      </c>
      <c r="D11" s="3" t="s">
        <v>466</v>
      </c>
      <c r="E11" s="3" t="s">
        <v>461</v>
      </c>
      <c r="F11" s="3" t="s">
        <v>462</v>
      </c>
      <c r="G11" s="3" t="s">
        <v>478</v>
      </c>
    </row>
    <row r="12">
      <c r="A12" s="3" t="s">
        <v>458</v>
      </c>
      <c r="B12" s="3" t="s">
        <v>10</v>
      </c>
      <c r="C12" s="3" t="s">
        <v>459</v>
      </c>
      <c r="D12" s="3" t="s">
        <v>470</v>
      </c>
      <c r="E12" s="3" t="s">
        <v>479</v>
      </c>
      <c r="F12" s="3" t="s">
        <v>480</v>
      </c>
      <c r="G12" s="3" t="s">
        <v>481</v>
      </c>
    </row>
    <row r="13">
      <c r="A13" s="3" t="s">
        <v>458</v>
      </c>
      <c r="B13" s="3" t="s">
        <v>11</v>
      </c>
      <c r="C13" s="3" t="s">
        <v>475</v>
      </c>
      <c r="D13" s="3" t="s">
        <v>466</v>
      </c>
      <c r="E13" s="3" t="s">
        <v>461</v>
      </c>
      <c r="F13" s="3" t="s">
        <v>462</v>
      </c>
      <c r="G13" s="3" t="s">
        <v>482</v>
      </c>
    </row>
    <row r="14">
      <c r="A14" s="3" t="s">
        <v>458</v>
      </c>
      <c r="B14" s="3" t="s">
        <v>12</v>
      </c>
      <c r="C14" s="3" t="s">
        <v>459</v>
      </c>
      <c r="D14" s="3" t="s">
        <v>466</v>
      </c>
      <c r="E14" s="3" t="s">
        <v>461</v>
      </c>
      <c r="F14" s="3" t="s">
        <v>462</v>
      </c>
      <c r="G14" s="3" t="s">
        <v>483</v>
      </c>
    </row>
    <row r="15">
      <c r="A15" s="3" t="s">
        <v>484</v>
      </c>
      <c r="B15" s="3" t="s">
        <v>94</v>
      </c>
      <c r="C15" s="3" t="s">
        <v>459</v>
      </c>
      <c r="D15" s="3" t="s">
        <v>460</v>
      </c>
      <c r="E15" s="3" t="s">
        <v>461</v>
      </c>
      <c r="F15" s="3" t="s">
        <v>462</v>
      </c>
      <c r="G15" s="3" t="s">
        <v>485</v>
      </c>
    </row>
    <row r="16">
      <c r="A16" s="3" t="s">
        <v>484</v>
      </c>
      <c r="B16" s="3" t="s">
        <v>95</v>
      </c>
      <c r="C16" s="3" t="s">
        <v>459</v>
      </c>
      <c r="D16" s="3" t="s">
        <v>470</v>
      </c>
      <c r="E16" s="3" t="s">
        <v>479</v>
      </c>
      <c r="F16" s="3" t="s">
        <v>462</v>
      </c>
      <c r="G16" s="3" t="s">
        <v>486</v>
      </c>
    </row>
    <row r="17">
      <c r="A17" s="3" t="s">
        <v>484</v>
      </c>
      <c r="B17" s="3" t="s">
        <v>96</v>
      </c>
      <c r="C17" s="3" t="s">
        <v>459</v>
      </c>
      <c r="D17" s="3" t="s">
        <v>466</v>
      </c>
      <c r="E17" s="3" t="s">
        <v>461</v>
      </c>
      <c r="F17" s="3" t="s">
        <v>462</v>
      </c>
      <c r="G17" s="3" t="s">
        <v>487</v>
      </c>
    </row>
    <row r="18">
      <c r="A18" s="3" t="s">
        <v>484</v>
      </c>
      <c r="B18" s="3" t="s">
        <v>97</v>
      </c>
      <c r="C18" s="3" t="s">
        <v>459</v>
      </c>
      <c r="D18" s="3" t="s">
        <v>470</v>
      </c>
      <c r="E18" s="3" t="s">
        <v>479</v>
      </c>
      <c r="F18" s="3" t="s">
        <v>462</v>
      </c>
      <c r="G18" s="3" t="s">
        <v>488</v>
      </c>
    </row>
    <row r="19">
      <c r="A19" s="3" t="s">
        <v>484</v>
      </c>
      <c r="B19" s="3" t="s">
        <v>98</v>
      </c>
      <c r="C19" s="3" t="s">
        <v>459</v>
      </c>
      <c r="D19" s="3" t="s">
        <v>466</v>
      </c>
      <c r="E19" s="3" t="s">
        <v>461</v>
      </c>
      <c r="F19" s="3" t="s">
        <v>462</v>
      </c>
      <c r="G19" s="3" t="s">
        <v>489</v>
      </c>
    </row>
    <row r="20">
      <c r="A20" s="3" t="s">
        <v>484</v>
      </c>
      <c r="B20" s="3" t="s">
        <v>99</v>
      </c>
      <c r="C20" s="3" t="s">
        <v>459</v>
      </c>
      <c r="D20" s="3" t="s">
        <v>470</v>
      </c>
      <c r="E20" s="3" t="s">
        <v>471</v>
      </c>
      <c r="F20" s="3" t="s">
        <v>462</v>
      </c>
      <c r="G20" s="3" t="s">
        <v>490</v>
      </c>
    </row>
    <row r="21">
      <c r="A21" s="3" t="s">
        <v>484</v>
      </c>
      <c r="B21" s="3" t="s">
        <v>100</v>
      </c>
      <c r="C21" s="3" t="s">
        <v>459</v>
      </c>
      <c r="D21" s="3" t="s">
        <v>466</v>
      </c>
      <c r="E21" s="3" t="s">
        <v>461</v>
      </c>
      <c r="F21" s="3" t="s">
        <v>480</v>
      </c>
      <c r="G21" s="3" t="s">
        <v>491</v>
      </c>
    </row>
    <row r="22">
      <c r="A22" s="3" t="s">
        <v>484</v>
      </c>
      <c r="B22" s="3" t="s">
        <v>101</v>
      </c>
      <c r="C22" s="3" t="s">
        <v>475</v>
      </c>
      <c r="D22" s="3" t="s">
        <v>466</v>
      </c>
      <c r="E22" s="3" t="s">
        <v>461</v>
      </c>
      <c r="F22" s="3" t="s">
        <v>462</v>
      </c>
      <c r="G22" s="3" t="s">
        <v>492</v>
      </c>
    </row>
    <row r="23">
      <c r="A23" s="3" t="s">
        <v>484</v>
      </c>
      <c r="B23" s="3" t="s">
        <v>102</v>
      </c>
      <c r="C23" s="3" t="s">
        <v>475</v>
      </c>
      <c r="D23" s="3" t="s">
        <v>466</v>
      </c>
      <c r="E23" s="3" t="s">
        <v>461</v>
      </c>
      <c r="F23" s="3" t="s">
        <v>462</v>
      </c>
      <c r="G23" s="3" t="s">
        <v>493</v>
      </c>
    </row>
    <row r="24">
      <c r="A24" s="3" t="s">
        <v>484</v>
      </c>
      <c r="B24" s="3" t="s">
        <v>103</v>
      </c>
      <c r="C24" s="3" t="s">
        <v>475</v>
      </c>
      <c r="D24" s="3" t="s">
        <v>466</v>
      </c>
      <c r="E24" s="3" t="s">
        <v>461</v>
      </c>
      <c r="F24" s="3" t="s">
        <v>462</v>
      </c>
      <c r="G24" s="3" t="s">
        <v>494</v>
      </c>
    </row>
    <row r="25">
      <c r="A25" s="3" t="s">
        <v>484</v>
      </c>
      <c r="B25" s="3" t="s">
        <v>104</v>
      </c>
      <c r="C25" s="3" t="s">
        <v>473</v>
      </c>
      <c r="D25" s="3" t="s">
        <v>466</v>
      </c>
      <c r="E25" s="3" t="s">
        <v>461</v>
      </c>
      <c r="F25" s="3" t="s">
        <v>462</v>
      </c>
      <c r="G25" s="3" t="s">
        <v>495</v>
      </c>
    </row>
    <row r="26">
      <c r="A26" s="3" t="s">
        <v>484</v>
      </c>
      <c r="B26" s="3" t="s">
        <v>105</v>
      </c>
      <c r="C26" s="3" t="s">
        <v>475</v>
      </c>
      <c r="D26" s="3" t="s">
        <v>466</v>
      </c>
      <c r="E26" s="3" t="s">
        <v>461</v>
      </c>
      <c r="F26" s="3" t="s">
        <v>462</v>
      </c>
      <c r="G26" s="3" t="s">
        <v>496</v>
      </c>
    </row>
    <row r="27">
      <c r="A27" s="3" t="s">
        <v>484</v>
      </c>
      <c r="B27" s="3" t="s">
        <v>106</v>
      </c>
      <c r="C27" s="3" t="s">
        <v>475</v>
      </c>
      <c r="D27" s="3" t="s">
        <v>466</v>
      </c>
      <c r="E27" s="3" t="s">
        <v>461</v>
      </c>
      <c r="F27" s="3" t="s">
        <v>462</v>
      </c>
      <c r="G27" s="3" t="s">
        <v>497</v>
      </c>
    </row>
    <row r="28">
      <c r="A28" s="3" t="s">
        <v>484</v>
      </c>
      <c r="B28" s="3" t="s">
        <v>107</v>
      </c>
      <c r="C28" s="3" t="s">
        <v>459</v>
      </c>
      <c r="D28" s="3" t="s">
        <v>466</v>
      </c>
      <c r="E28" s="3" t="s">
        <v>461</v>
      </c>
      <c r="F28" s="3" t="s">
        <v>462</v>
      </c>
      <c r="G28" s="3" t="s">
        <v>498</v>
      </c>
    </row>
    <row r="29">
      <c r="A29" s="3" t="s">
        <v>484</v>
      </c>
      <c r="B29" s="3" t="s">
        <v>108</v>
      </c>
      <c r="C29" s="3" t="s">
        <v>459</v>
      </c>
      <c r="D29" s="3" t="s">
        <v>466</v>
      </c>
      <c r="E29" s="3" t="s">
        <v>461</v>
      </c>
      <c r="F29" s="3" t="s">
        <v>462</v>
      </c>
      <c r="G29" s="3" t="s">
        <v>499</v>
      </c>
    </row>
    <row r="30">
      <c r="A30" s="3" t="s">
        <v>500</v>
      </c>
      <c r="B30" s="3" t="s">
        <v>210</v>
      </c>
      <c r="C30" s="3" t="s">
        <v>459</v>
      </c>
      <c r="D30" s="3" t="s">
        <v>460</v>
      </c>
      <c r="E30" s="3" t="s">
        <v>461</v>
      </c>
      <c r="F30" s="3" t="s">
        <v>462</v>
      </c>
      <c r="G30" s="3" t="s">
        <v>501</v>
      </c>
    </row>
    <row r="31">
      <c r="A31" s="3" t="s">
        <v>500</v>
      </c>
      <c r="B31" s="3" t="s">
        <v>211</v>
      </c>
      <c r="C31" s="3" t="s">
        <v>459</v>
      </c>
      <c r="D31" s="3" t="s">
        <v>464</v>
      </c>
      <c r="E31" s="3" t="s">
        <v>461</v>
      </c>
      <c r="F31" s="3" t="s">
        <v>462</v>
      </c>
      <c r="G31" s="3" t="s">
        <v>502</v>
      </c>
    </row>
    <row r="32">
      <c r="A32" s="3" t="s">
        <v>500</v>
      </c>
      <c r="B32" s="3" t="s">
        <v>212</v>
      </c>
      <c r="C32" s="3" t="s">
        <v>459</v>
      </c>
      <c r="D32" s="3" t="s">
        <v>466</v>
      </c>
      <c r="E32" s="3" t="s">
        <v>461</v>
      </c>
      <c r="F32" s="3" t="s">
        <v>462</v>
      </c>
      <c r="G32" s="3" t="s">
        <v>503</v>
      </c>
    </row>
    <row r="33">
      <c r="A33" s="3" t="s">
        <v>500</v>
      </c>
      <c r="B33" s="3" t="s">
        <v>213</v>
      </c>
      <c r="C33" s="3" t="s">
        <v>459</v>
      </c>
      <c r="D33" s="3" t="s">
        <v>466</v>
      </c>
      <c r="E33" s="3" t="s">
        <v>461</v>
      </c>
      <c r="F33" s="3" t="s">
        <v>462</v>
      </c>
      <c r="G33" s="3" t="s">
        <v>504</v>
      </c>
    </row>
    <row r="34">
      <c r="A34" s="3" t="s">
        <v>500</v>
      </c>
      <c r="B34" s="3" t="s">
        <v>214</v>
      </c>
      <c r="C34" s="3" t="s">
        <v>459</v>
      </c>
      <c r="D34" s="3" t="s">
        <v>466</v>
      </c>
      <c r="E34" s="3" t="s">
        <v>461</v>
      </c>
      <c r="F34" s="3" t="s">
        <v>462</v>
      </c>
      <c r="G34" s="3" t="s">
        <v>505</v>
      </c>
    </row>
    <row r="35">
      <c r="A35" s="3" t="s">
        <v>500</v>
      </c>
      <c r="B35" s="3" t="s">
        <v>215</v>
      </c>
      <c r="C35" s="3" t="s">
        <v>459</v>
      </c>
      <c r="D35" s="3" t="s">
        <v>466</v>
      </c>
      <c r="E35" s="3" t="s">
        <v>461</v>
      </c>
      <c r="F35" s="3" t="s">
        <v>462</v>
      </c>
      <c r="G35" s="3" t="s">
        <v>506</v>
      </c>
    </row>
    <row r="36">
      <c r="A36" s="4" t="s">
        <v>500</v>
      </c>
      <c r="B36" s="4" t="s">
        <v>216</v>
      </c>
      <c r="C36" s="4" t="s">
        <v>475</v>
      </c>
      <c r="D36" s="4" t="s">
        <v>466</v>
      </c>
      <c r="E36" s="4" t="s">
        <v>461</v>
      </c>
      <c r="F36" s="4" t="s">
        <v>462</v>
      </c>
      <c r="G36" s="4" t="s">
        <v>507</v>
      </c>
    </row>
    <row r="37">
      <c r="A37" s="4" t="s">
        <v>500</v>
      </c>
      <c r="B37" s="4" t="s">
        <v>217</v>
      </c>
      <c r="C37" s="4" t="s">
        <v>475</v>
      </c>
      <c r="D37" s="4" t="s">
        <v>466</v>
      </c>
      <c r="E37" s="4" t="s">
        <v>461</v>
      </c>
      <c r="F37" s="4" t="s">
        <v>462</v>
      </c>
      <c r="G37" s="4" t="s">
        <v>508</v>
      </c>
    </row>
    <row r="38">
      <c r="A38" s="4" t="s">
        <v>500</v>
      </c>
      <c r="B38" s="4" t="s">
        <v>218</v>
      </c>
      <c r="C38" s="4" t="s">
        <v>509</v>
      </c>
      <c r="D38" s="4" t="s">
        <v>466</v>
      </c>
      <c r="E38" s="4" t="s">
        <v>461</v>
      </c>
      <c r="F38" s="4" t="s">
        <v>462</v>
      </c>
      <c r="G38" s="4" t="s">
        <v>510</v>
      </c>
    </row>
    <row r="39">
      <c r="A39" s="4" t="s">
        <v>500</v>
      </c>
      <c r="B39" s="4" t="s">
        <v>219</v>
      </c>
      <c r="C39" s="4" t="s">
        <v>473</v>
      </c>
      <c r="D39" s="4" t="s">
        <v>466</v>
      </c>
      <c r="E39" s="4" t="s">
        <v>461</v>
      </c>
      <c r="F39" s="4" t="s">
        <v>462</v>
      </c>
      <c r="G39" s="4" t="s">
        <v>511</v>
      </c>
    </row>
    <row r="40">
      <c r="A40" s="4" t="s">
        <v>500</v>
      </c>
      <c r="B40" s="4" t="s">
        <v>220</v>
      </c>
      <c r="C40" s="4" t="s">
        <v>459</v>
      </c>
      <c r="D40" s="4" t="s">
        <v>466</v>
      </c>
      <c r="E40" s="4" t="s">
        <v>461</v>
      </c>
      <c r="F40" s="4" t="s">
        <v>462</v>
      </c>
      <c r="G40" s="4" t="s">
        <v>512</v>
      </c>
    </row>
    <row r="41">
      <c r="A41" s="4" t="s">
        <v>500</v>
      </c>
      <c r="B41" s="4" t="s">
        <v>221</v>
      </c>
      <c r="C41" s="4" t="s">
        <v>459</v>
      </c>
      <c r="D41" s="4" t="s">
        <v>470</v>
      </c>
      <c r="E41" s="4" t="s">
        <v>479</v>
      </c>
      <c r="F41" s="4" t="s">
        <v>462</v>
      </c>
      <c r="G41" s="4" t="s">
        <v>513</v>
      </c>
    </row>
    <row r="42">
      <c r="A42" s="4" t="s">
        <v>514</v>
      </c>
      <c r="B42" s="4" t="s">
        <v>252</v>
      </c>
      <c r="C42" s="4" t="s">
        <v>459</v>
      </c>
      <c r="D42" s="4" t="s">
        <v>460</v>
      </c>
      <c r="E42" s="4" t="s">
        <v>461</v>
      </c>
      <c r="F42" s="4" t="s">
        <v>462</v>
      </c>
      <c r="G42" s="4" t="s">
        <v>515</v>
      </c>
    </row>
    <row r="43">
      <c r="A43" s="4" t="s">
        <v>514</v>
      </c>
      <c r="B43" s="4" t="s">
        <v>253</v>
      </c>
      <c r="C43" s="4" t="s">
        <v>459</v>
      </c>
      <c r="D43" s="4" t="s">
        <v>464</v>
      </c>
      <c r="E43" s="4" t="s">
        <v>461</v>
      </c>
      <c r="F43" s="4" t="s">
        <v>462</v>
      </c>
      <c r="G43" s="4" t="s">
        <v>516</v>
      </c>
    </row>
    <row r="44">
      <c r="A44" s="4" t="s">
        <v>514</v>
      </c>
      <c r="B44" s="4" t="s">
        <v>254</v>
      </c>
      <c r="C44" s="4" t="s">
        <v>459</v>
      </c>
      <c r="D44" s="4" t="s">
        <v>466</v>
      </c>
      <c r="E44" s="4" t="s">
        <v>461</v>
      </c>
      <c r="F44" s="4" t="s">
        <v>462</v>
      </c>
      <c r="G44" s="4" t="s">
        <v>517</v>
      </c>
    </row>
    <row r="45">
      <c r="A45" s="4" t="s">
        <v>514</v>
      </c>
      <c r="B45" s="4" t="s">
        <v>255</v>
      </c>
      <c r="C45" s="4" t="s">
        <v>459</v>
      </c>
      <c r="D45" s="4" t="s">
        <v>466</v>
      </c>
      <c r="E45" s="4" t="s">
        <v>461</v>
      </c>
      <c r="F45" s="4" t="s">
        <v>462</v>
      </c>
      <c r="G45" s="4" t="s">
        <v>518</v>
      </c>
    </row>
    <row r="46">
      <c r="A46" s="4" t="s">
        <v>514</v>
      </c>
      <c r="B46" s="4" t="s">
        <v>256</v>
      </c>
      <c r="C46" s="4" t="s">
        <v>459</v>
      </c>
      <c r="D46" s="4" t="s">
        <v>466</v>
      </c>
      <c r="E46" s="4" t="s">
        <v>461</v>
      </c>
      <c r="F46" s="4" t="s">
        <v>462</v>
      </c>
      <c r="G46" s="4" t="s">
        <v>519</v>
      </c>
    </row>
    <row r="47">
      <c r="A47" s="4" t="s">
        <v>514</v>
      </c>
      <c r="B47" s="4" t="s">
        <v>257</v>
      </c>
      <c r="C47" s="4" t="s">
        <v>459</v>
      </c>
      <c r="D47" s="4" t="s">
        <v>466</v>
      </c>
      <c r="E47" s="4" t="s">
        <v>461</v>
      </c>
      <c r="F47" s="4" t="s">
        <v>462</v>
      </c>
      <c r="G47" s="4" t="s">
        <v>520</v>
      </c>
    </row>
    <row r="48">
      <c r="A48" s="4" t="s">
        <v>514</v>
      </c>
      <c r="B48" s="4" t="s">
        <v>258</v>
      </c>
      <c r="C48" s="4" t="s">
        <v>459</v>
      </c>
      <c r="D48" s="4" t="s">
        <v>466</v>
      </c>
      <c r="E48" s="4" t="s">
        <v>461</v>
      </c>
      <c r="F48" s="4" t="s">
        <v>462</v>
      </c>
      <c r="G48" s="4" t="s">
        <v>521</v>
      </c>
    </row>
    <row r="49">
      <c r="A49" s="4" t="s">
        <v>514</v>
      </c>
      <c r="B49" s="4" t="s">
        <v>259</v>
      </c>
      <c r="C49" s="4" t="s">
        <v>475</v>
      </c>
      <c r="D49" s="4" t="s">
        <v>466</v>
      </c>
      <c r="E49" s="4" t="s">
        <v>461</v>
      </c>
      <c r="F49" s="4" t="s">
        <v>462</v>
      </c>
      <c r="G49" s="4" t="s">
        <v>522</v>
      </c>
    </row>
    <row r="50">
      <c r="A50" s="4" t="s">
        <v>514</v>
      </c>
      <c r="B50" s="4" t="s">
        <v>260</v>
      </c>
      <c r="C50" s="4" t="s">
        <v>475</v>
      </c>
      <c r="D50" s="4" t="s">
        <v>466</v>
      </c>
      <c r="E50" s="4" t="s">
        <v>461</v>
      </c>
      <c r="F50" s="4" t="s">
        <v>462</v>
      </c>
      <c r="G50" s="4" t="s">
        <v>523</v>
      </c>
    </row>
    <row r="51">
      <c r="A51" s="4" t="s">
        <v>514</v>
      </c>
      <c r="B51" s="4" t="s">
        <v>261</v>
      </c>
      <c r="C51" s="4" t="s">
        <v>475</v>
      </c>
      <c r="D51" s="4" t="s">
        <v>466</v>
      </c>
      <c r="E51" s="4" t="s">
        <v>461</v>
      </c>
      <c r="F51" s="4" t="s">
        <v>462</v>
      </c>
      <c r="G51" s="4" t="s">
        <v>524</v>
      </c>
    </row>
    <row r="52">
      <c r="A52" s="4" t="s">
        <v>514</v>
      </c>
      <c r="B52" s="4" t="s">
        <v>262</v>
      </c>
      <c r="C52" s="4" t="s">
        <v>475</v>
      </c>
      <c r="D52" s="4" t="s">
        <v>466</v>
      </c>
      <c r="E52" s="4" t="s">
        <v>461</v>
      </c>
      <c r="F52" s="4" t="s">
        <v>462</v>
      </c>
      <c r="G52" s="4" t="s">
        <v>525</v>
      </c>
    </row>
    <row r="53">
      <c r="A53" s="4" t="s">
        <v>514</v>
      </c>
      <c r="B53" s="4" t="s">
        <v>263</v>
      </c>
      <c r="C53" s="4" t="s">
        <v>475</v>
      </c>
      <c r="D53" s="4" t="s">
        <v>466</v>
      </c>
      <c r="E53" s="4" t="s">
        <v>461</v>
      </c>
      <c r="F53" s="4" t="s">
        <v>462</v>
      </c>
      <c r="G53" s="4" t="s">
        <v>526</v>
      </c>
    </row>
    <row r="54">
      <c r="A54" s="4" t="s">
        <v>514</v>
      </c>
      <c r="B54" s="4" t="s">
        <v>264</v>
      </c>
      <c r="C54" s="4" t="s">
        <v>459</v>
      </c>
      <c r="D54" s="4" t="s">
        <v>466</v>
      </c>
      <c r="E54" s="4" t="s">
        <v>461</v>
      </c>
      <c r="F54" s="4" t="s">
        <v>462</v>
      </c>
      <c r="G54" s="4" t="s">
        <v>527</v>
      </c>
    </row>
    <row r="55">
      <c r="A55" s="4" t="s">
        <v>528</v>
      </c>
      <c r="B55" s="4" t="s">
        <v>342</v>
      </c>
      <c r="C55" s="4" t="s">
        <v>459</v>
      </c>
      <c r="D55" s="4" t="s">
        <v>460</v>
      </c>
      <c r="E55" s="4" t="s">
        <v>529</v>
      </c>
      <c r="F55" s="4" t="s">
        <v>462</v>
      </c>
      <c r="G55" s="4" t="s">
        <v>530</v>
      </c>
    </row>
    <row r="56">
      <c r="A56" s="4" t="s">
        <v>528</v>
      </c>
      <c r="B56" s="4" t="s">
        <v>343</v>
      </c>
      <c r="C56" s="4" t="s">
        <v>459</v>
      </c>
      <c r="D56" s="4" t="s">
        <v>470</v>
      </c>
      <c r="E56" s="4" t="s">
        <v>531</v>
      </c>
      <c r="F56" s="4" t="s">
        <v>462</v>
      </c>
      <c r="G56" s="4" t="s">
        <v>532</v>
      </c>
    </row>
    <row r="57">
      <c r="A57" s="4" t="s">
        <v>528</v>
      </c>
      <c r="B57" s="4" t="s">
        <v>344</v>
      </c>
      <c r="C57" s="4" t="s">
        <v>459</v>
      </c>
      <c r="D57" s="4" t="s">
        <v>466</v>
      </c>
      <c r="E57" s="18" t="s">
        <v>533</v>
      </c>
      <c r="F57" s="4" t="s">
        <v>462</v>
      </c>
      <c r="G57" s="4" t="s">
        <v>534</v>
      </c>
    </row>
    <row r="58">
      <c r="A58" s="4" t="s">
        <v>528</v>
      </c>
      <c r="B58" s="4" t="s">
        <v>345</v>
      </c>
      <c r="C58" s="4" t="s">
        <v>459</v>
      </c>
      <c r="D58" s="4" t="s">
        <v>466</v>
      </c>
      <c r="E58" s="4" t="s">
        <v>461</v>
      </c>
      <c r="F58" s="4" t="s">
        <v>462</v>
      </c>
      <c r="G58" s="4" t="s">
        <v>535</v>
      </c>
    </row>
    <row r="59">
      <c r="A59" s="4" t="s">
        <v>528</v>
      </c>
      <c r="B59" s="4" t="s">
        <v>211</v>
      </c>
      <c r="C59" s="4" t="s">
        <v>459</v>
      </c>
      <c r="D59" s="4" t="s">
        <v>470</v>
      </c>
      <c r="E59" s="4" t="s">
        <v>536</v>
      </c>
      <c r="F59" s="4" t="s">
        <v>462</v>
      </c>
      <c r="G59" s="4" t="s">
        <v>537</v>
      </c>
    </row>
    <row r="60">
      <c r="A60" s="4" t="s">
        <v>528</v>
      </c>
      <c r="B60" s="4" t="s">
        <v>95</v>
      </c>
      <c r="C60" s="4" t="s">
        <v>459</v>
      </c>
      <c r="D60" s="4" t="s">
        <v>470</v>
      </c>
      <c r="E60" s="4" t="s">
        <v>479</v>
      </c>
      <c r="F60" s="4" t="s">
        <v>462</v>
      </c>
      <c r="G60" s="4" t="s">
        <v>538</v>
      </c>
    </row>
    <row r="61">
      <c r="A61" s="4" t="s">
        <v>528</v>
      </c>
      <c r="B61" s="4" t="s">
        <v>346</v>
      </c>
      <c r="C61" s="4" t="s">
        <v>459</v>
      </c>
      <c r="D61" s="4" t="s">
        <v>470</v>
      </c>
      <c r="E61" s="4" t="s">
        <v>539</v>
      </c>
      <c r="F61" s="4" t="s">
        <v>462</v>
      </c>
      <c r="G61" s="4" t="s">
        <v>540</v>
      </c>
    </row>
    <row r="62">
      <c r="A62" s="4" t="s">
        <v>528</v>
      </c>
      <c r="B62" s="4" t="s">
        <v>347</v>
      </c>
      <c r="C62" s="4" t="s">
        <v>541</v>
      </c>
      <c r="D62" s="4" t="s">
        <v>466</v>
      </c>
      <c r="E62" s="4" t="s">
        <v>461</v>
      </c>
      <c r="F62" s="4" t="s">
        <v>480</v>
      </c>
      <c r="G62" s="4" t="s">
        <v>542</v>
      </c>
    </row>
    <row r="63">
      <c r="A63" s="4" t="s">
        <v>528</v>
      </c>
      <c r="B63" s="4" t="s">
        <v>348</v>
      </c>
      <c r="C63" s="4" t="s">
        <v>541</v>
      </c>
      <c r="D63" s="4" t="s">
        <v>466</v>
      </c>
      <c r="E63" s="4" t="s">
        <v>461</v>
      </c>
      <c r="F63" s="4" t="s">
        <v>462</v>
      </c>
      <c r="G63" s="4" t="s">
        <v>543</v>
      </c>
    </row>
    <row r="64">
      <c r="A64" s="4" t="s">
        <v>528</v>
      </c>
      <c r="B64" s="4" t="s">
        <v>349</v>
      </c>
      <c r="C64" s="4" t="s">
        <v>473</v>
      </c>
      <c r="D64" s="4" t="s">
        <v>544</v>
      </c>
      <c r="E64" s="4" t="s">
        <v>461</v>
      </c>
      <c r="F64" s="4" t="s">
        <v>462</v>
      </c>
      <c r="G64" s="4" t="s">
        <v>545</v>
      </c>
    </row>
    <row r="65">
      <c r="A65" s="4" t="s">
        <v>528</v>
      </c>
      <c r="B65" s="4" t="s">
        <v>6</v>
      </c>
      <c r="C65" s="4" t="s">
        <v>473</v>
      </c>
      <c r="D65" s="4" t="s">
        <v>544</v>
      </c>
      <c r="E65" s="4" t="s">
        <v>546</v>
      </c>
      <c r="F65" s="4" t="s">
        <v>462</v>
      </c>
      <c r="G65" s="4" t="s">
        <v>547</v>
      </c>
    </row>
    <row r="66">
      <c r="A66" s="4" t="s">
        <v>528</v>
      </c>
      <c r="B66" s="4" t="s">
        <v>350</v>
      </c>
      <c r="C66" s="4" t="s">
        <v>541</v>
      </c>
      <c r="D66" s="4" t="s">
        <v>544</v>
      </c>
      <c r="E66" s="4" t="s">
        <v>461</v>
      </c>
      <c r="F66" s="4" t="s">
        <v>462</v>
      </c>
      <c r="G66" s="4" t="s">
        <v>548</v>
      </c>
    </row>
    <row r="67">
      <c r="A67" s="4" t="s">
        <v>528</v>
      </c>
      <c r="B67" s="4" t="s">
        <v>351</v>
      </c>
      <c r="C67" s="4" t="s">
        <v>459</v>
      </c>
      <c r="D67" s="4" t="s">
        <v>544</v>
      </c>
      <c r="E67" s="4" t="s">
        <v>461</v>
      </c>
      <c r="F67" s="4" t="s">
        <v>462</v>
      </c>
      <c r="G67" s="4" t="s">
        <v>549</v>
      </c>
    </row>
    <row r="68">
      <c r="A68" s="4" t="s">
        <v>528</v>
      </c>
      <c r="B68" s="4" t="s">
        <v>352</v>
      </c>
      <c r="C68" s="4" t="s">
        <v>459</v>
      </c>
      <c r="D68" s="4" t="s">
        <v>466</v>
      </c>
      <c r="E68" s="4" t="s">
        <v>461</v>
      </c>
      <c r="F68" s="4" t="s">
        <v>462</v>
      </c>
      <c r="G68" s="4" t="s">
        <v>550</v>
      </c>
    </row>
    <row r="69">
      <c r="A69" s="4" t="s">
        <v>528</v>
      </c>
      <c r="B69" s="4" t="s">
        <v>353</v>
      </c>
      <c r="C69" s="4" t="s">
        <v>459</v>
      </c>
      <c r="D69" s="4" t="s">
        <v>470</v>
      </c>
      <c r="E69" s="4" t="s">
        <v>479</v>
      </c>
      <c r="F69" s="4" t="s">
        <v>462</v>
      </c>
      <c r="G69" s="4" t="s">
        <v>551</v>
      </c>
    </row>
    <row r="70">
      <c r="A70" s="4" t="s">
        <v>528</v>
      </c>
      <c r="B70" s="4" t="s">
        <v>354</v>
      </c>
      <c r="C70" s="4" t="s">
        <v>473</v>
      </c>
      <c r="D70" s="4" t="s">
        <v>466</v>
      </c>
      <c r="E70" s="4" t="s">
        <v>461</v>
      </c>
      <c r="F70" s="4" t="s">
        <v>462</v>
      </c>
      <c r="G70" s="4" t="s">
        <v>552</v>
      </c>
    </row>
    <row r="71">
      <c r="A71" s="4" t="s">
        <v>528</v>
      </c>
      <c r="B71" s="4" t="s">
        <v>355</v>
      </c>
      <c r="C71" s="4" t="s">
        <v>459</v>
      </c>
      <c r="D71" s="4" t="s">
        <v>466</v>
      </c>
      <c r="E71" s="4" t="s">
        <v>461</v>
      </c>
      <c r="F71" s="4" t="s">
        <v>480</v>
      </c>
      <c r="G71" s="4" t="s">
        <v>553</v>
      </c>
    </row>
    <row r="72">
      <c r="A72" s="4" t="s">
        <v>554</v>
      </c>
      <c r="B72" s="4" t="s">
        <v>451</v>
      </c>
      <c r="C72" s="4" t="s">
        <v>459</v>
      </c>
      <c r="D72" s="4" t="s">
        <v>466</v>
      </c>
      <c r="E72" s="4" t="s">
        <v>461</v>
      </c>
      <c r="F72" s="4" t="s">
        <v>462</v>
      </c>
      <c r="G72" s="4" t="s">
        <v>555</v>
      </c>
    </row>
    <row r="73">
      <c r="A73" s="4" t="s">
        <v>554</v>
      </c>
      <c r="B73" s="4" t="s">
        <v>452</v>
      </c>
      <c r="C73" s="4" t="s">
        <v>459</v>
      </c>
      <c r="D73" s="4" t="s">
        <v>466</v>
      </c>
      <c r="E73" s="4" t="s">
        <v>461</v>
      </c>
      <c r="F73" s="4" t="s">
        <v>462</v>
      </c>
      <c r="G73" s="4" t="s">
        <v>556</v>
      </c>
    </row>
    <row r="74">
      <c r="A74" s="4" t="s">
        <v>554</v>
      </c>
      <c r="B74" s="4" t="s">
        <v>453</v>
      </c>
      <c r="C74" s="4" t="s">
        <v>459</v>
      </c>
      <c r="D74" s="4" t="s">
        <v>466</v>
      </c>
      <c r="E74" s="4" t="s">
        <v>461</v>
      </c>
      <c r="F74" s="4" t="s">
        <v>462</v>
      </c>
      <c r="G74" s="4" t="s">
        <v>557</v>
      </c>
    </row>
    <row r="75">
      <c r="A75" s="4" t="s">
        <v>554</v>
      </c>
      <c r="B75" s="4" t="s">
        <v>454</v>
      </c>
      <c r="C75" s="4" t="s">
        <v>459</v>
      </c>
      <c r="D75" s="4" t="s">
        <v>466</v>
      </c>
      <c r="E75" s="4" t="s">
        <v>461</v>
      </c>
      <c r="F75" s="4" t="s">
        <v>462</v>
      </c>
      <c r="G75" s="4" t="s">
        <v>558</v>
      </c>
    </row>
    <row r="76">
      <c r="A76" s="4" t="s">
        <v>554</v>
      </c>
      <c r="B76" s="4" t="s">
        <v>455</v>
      </c>
      <c r="C76" s="4" t="s">
        <v>459</v>
      </c>
      <c r="D76" s="4" t="s">
        <v>466</v>
      </c>
      <c r="E76" s="4" t="s">
        <v>461</v>
      </c>
      <c r="F76" s="4" t="s">
        <v>480</v>
      </c>
      <c r="G76" s="4" t="s">
        <v>559</v>
      </c>
    </row>
    <row r="77">
      <c r="A77" s="4" t="s">
        <v>554</v>
      </c>
      <c r="B77" s="4" t="s">
        <v>456</v>
      </c>
      <c r="C77" s="4" t="s">
        <v>459</v>
      </c>
      <c r="D77" s="4" t="s">
        <v>466</v>
      </c>
      <c r="E77" s="4" t="s">
        <v>461</v>
      </c>
      <c r="F77" s="4" t="s">
        <v>462</v>
      </c>
      <c r="G77" s="4" t="s">
        <v>560</v>
      </c>
    </row>
    <row r="78">
      <c r="A78" s="4" t="s">
        <v>554</v>
      </c>
      <c r="B78" s="4" t="s">
        <v>457</v>
      </c>
      <c r="C78" s="4" t="s">
        <v>459</v>
      </c>
      <c r="D78" s="4" t="s">
        <v>466</v>
      </c>
      <c r="E78" s="4" t="s">
        <v>461</v>
      </c>
      <c r="F78" s="4" t="s">
        <v>462</v>
      </c>
      <c r="G78" s="4" t="s">
        <v>561</v>
      </c>
    </row>
    <row r="79">
      <c r="A79" s="4" t="s">
        <v>562</v>
      </c>
      <c r="B79" s="4" t="s">
        <v>563</v>
      </c>
      <c r="C79" s="4" t="s">
        <v>459</v>
      </c>
      <c r="D79" s="4" t="s">
        <v>460</v>
      </c>
      <c r="E79" s="4" t="s">
        <v>461</v>
      </c>
      <c r="F79" s="4" t="s">
        <v>462</v>
      </c>
      <c r="G79" s="4" t="s">
        <v>564</v>
      </c>
    </row>
    <row r="80">
      <c r="A80" s="4" t="s">
        <v>562</v>
      </c>
      <c r="B80" s="4" t="s">
        <v>565</v>
      </c>
      <c r="C80" s="4" t="s">
        <v>459</v>
      </c>
      <c r="D80" s="4" t="s">
        <v>466</v>
      </c>
      <c r="E80" s="4" t="s">
        <v>461</v>
      </c>
      <c r="F80" s="4" t="s">
        <v>462</v>
      </c>
      <c r="G80" s="4" t="s">
        <v>566</v>
      </c>
    </row>
    <row r="81">
      <c r="A81" s="4" t="s">
        <v>562</v>
      </c>
      <c r="B81" s="4" t="s">
        <v>567</v>
      </c>
      <c r="C81" s="4" t="s">
        <v>459</v>
      </c>
      <c r="D81" s="4" t="s">
        <v>466</v>
      </c>
      <c r="E81" s="4" t="s">
        <v>461</v>
      </c>
      <c r="F81" s="4" t="s">
        <v>462</v>
      </c>
      <c r="G81" s="4" t="s">
        <v>568</v>
      </c>
    </row>
    <row r="82">
      <c r="A82" s="4" t="s">
        <v>562</v>
      </c>
      <c r="B82" s="4" t="s">
        <v>569</v>
      </c>
      <c r="C82" s="4" t="s">
        <v>570</v>
      </c>
      <c r="D82" s="4" t="s">
        <v>544</v>
      </c>
      <c r="E82" s="4" t="s">
        <v>461</v>
      </c>
      <c r="F82" s="4" t="s">
        <v>462</v>
      </c>
      <c r="G82" s="4" t="s">
        <v>571</v>
      </c>
    </row>
    <row r="83">
      <c r="A83" s="4" t="s">
        <v>562</v>
      </c>
      <c r="B83" s="4" t="s">
        <v>572</v>
      </c>
      <c r="C83" s="4" t="s">
        <v>570</v>
      </c>
      <c r="D83" s="4" t="s">
        <v>544</v>
      </c>
      <c r="E83" s="4" t="s">
        <v>461</v>
      </c>
      <c r="F83" s="4" t="s">
        <v>462</v>
      </c>
      <c r="G83" s="4" t="s">
        <v>573</v>
      </c>
    </row>
    <row r="84">
      <c r="A84" s="4" t="s">
        <v>562</v>
      </c>
      <c r="B84" s="4" t="s">
        <v>574</v>
      </c>
      <c r="C84" s="4" t="s">
        <v>570</v>
      </c>
      <c r="D84" s="4" t="s">
        <v>544</v>
      </c>
      <c r="E84" s="4" t="s">
        <v>461</v>
      </c>
      <c r="F84" s="4" t="s">
        <v>462</v>
      </c>
      <c r="G84" s="4" t="s">
        <v>575</v>
      </c>
    </row>
    <row r="85">
      <c r="A85" s="4" t="s">
        <v>562</v>
      </c>
      <c r="B85" s="4" t="s">
        <v>576</v>
      </c>
      <c r="C85" s="4" t="s">
        <v>570</v>
      </c>
      <c r="D85" s="4" t="s">
        <v>544</v>
      </c>
      <c r="E85" s="4" t="s">
        <v>461</v>
      </c>
      <c r="F85" s="4" t="s">
        <v>462</v>
      </c>
      <c r="G85" s="4" t="s">
        <v>577</v>
      </c>
    </row>
  </sheetData>
  <hyperlinks>
    <hyperlink r:id="rId1" ref="E57"/>
  </hyperlinks>
  <drawing r:id="rId2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96.63"/>
    <col customWidth="1" min="2" max="2" width="23.88"/>
    <col customWidth="1" min="3" max="3" width="79.88"/>
    <col customWidth="1" min="4" max="4" width="17.75"/>
    <col customWidth="1" min="5" max="5" width="24.0"/>
    <col customWidth="1" min="6" max="6" width="14.63"/>
    <col customWidth="1" min="7" max="7" width="51.25"/>
  </cols>
  <sheetData>
    <row r="1">
      <c r="A1" s="19" t="s">
        <v>578</v>
      </c>
    </row>
    <row r="2">
      <c r="A2" s="20" t="s">
        <v>579</v>
      </c>
    </row>
    <row r="4">
      <c r="A4" s="21" t="s">
        <v>580</v>
      </c>
      <c r="B4" s="22" t="s">
        <v>581</v>
      </c>
      <c r="C4" s="22" t="s">
        <v>582</v>
      </c>
      <c r="D4" s="22" t="s">
        <v>583</v>
      </c>
      <c r="E4" s="22" t="s">
        <v>584</v>
      </c>
    </row>
    <row r="5">
      <c r="A5" s="21" t="s">
        <v>585</v>
      </c>
      <c r="B5" s="23">
        <f>COUNTA(A10:A17)</f>
        <v>8</v>
      </c>
      <c r="C5" s="23">
        <f>SUM(E10:E17)</f>
        <v>0</v>
      </c>
      <c r="D5" s="24">
        <f>AVERAGE(F10:F17)</f>
        <v>1</v>
      </c>
      <c r="E5" s="23" t="str">
        <f>IF(C5=0, "PASSED - ZERO DEFECTS", "FAIL - BREACHES DETECTED")</f>
        <v>PASSED - ZERO DEFECTS</v>
      </c>
    </row>
    <row r="8">
      <c r="A8" s="25" t="s">
        <v>586</v>
      </c>
    </row>
    <row r="9">
      <c r="A9" s="26" t="s">
        <v>563</v>
      </c>
      <c r="B9" s="26" t="s">
        <v>565</v>
      </c>
      <c r="C9" s="26" t="s">
        <v>567</v>
      </c>
      <c r="D9" s="26" t="s">
        <v>569</v>
      </c>
      <c r="E9" s="26" t="s">
        <v>572</v>
      </c>
      <c r="F9" s="26" t="s">
        <v>574</v>
      </c>
      <c r="G9" s="26" t="s">
        <v>576</v>
      </c>
    </row>
    <row r="10">
      <c r="A10" s="4" t="s">
        <v>587</v>
      </c>
      <c r="B10" s="4" t="s">
        <v>588</v>
      </c>
      <c r="C10" s="4" t="s">
        <v>589</v>
      </c>
      <c r="D10" s="27">
        <f>COUNTA(Stage_Definitions!$B$2:$B$16)</f>
        <v>15</v>
      </c>
      <c r="E10" s="27">
        <f>IFERROR(__xludf.DUMMYFUNCTION("COUNTA(Stage_Definitions!$B$2:$B$16) - COUNTUNIQUE(Stage_Definitions!$B$2:$B$16)"),0.0)</f>
        <v>0</v>
      </c>
      <c r="F10" s="28">
        <f t="shared" ref="F10:F17" si="1">(D10-E10)/D10</f>
        <v>1</v>
      </c>
      <c r="G10" s="27" t="str">
        <f t="shared" ref="G10:G17" si="2">IF(E10=0, "PASS", "FAIL")</f>
        <v>PASS</v>
      </c>
    </row>
    <row r="11">
      <c r="A11" s="4" t="s">
        <v>590</v>
      </c>
      <c r="B11" s="4" t="s">
        <v>591</v>
      </c>
      <c r="C11" s="4" t="s">
        <v>592</v>
      </c>
      <c r="D11" s="27">
        <f>COUNTA(Transition_Rules!$B$2:$B$25)</f>
        <v>24</v>
      </c>
      <c r="E11" s="27">
        <f>SUMPRODUCT((Transition_Rules!$B$2:$B$25&lt;&gt;"")*(ISNA(MATCH(Transition_Rules!$B$2:$B$25, Stage_Definitions!$B$2:$B$16, 0))))</f>
        <v>0</v>
      </c>
      <c r="F11" s="28">
        <f t="shared" si="1"/>
        <v>1</v>
      </c>
      <c r="G11" s="27" t="str">
        <f t="shared" si="2"/>
        <v>PASS</v>
      </c>
    </row>
    <row r="12">
      <c r="A12" s="4" t="s">
        <v>593</v>
      </c>
      <c r="B12" s="4" t="s">
        <v>591</v>
      </c>
      <c r="C12" s="4" t="s">
        <v>594</v>
      </c>
      <c r="D12" s="27">
        <f>COUNTA(Transition_Rules!$D$2:$D$25)</f>
        <v>24</v>
      </c>
      <c r="E12" s="27">
        <f>SUMPRODUCT((Transition_Rules!$D$2:$D$25&lt;&gt;"")*(ISNA(MATCH(Transition_Rules!$D$2:$D$25, Stage_Definitions!$B$2:$B$16, 0))))</f>
        <v>0</v>
      </c>
      <c r="F12" s="28">
        <f t="shared" si="1"/>
        <v>1</v>
      </c>
      <c r="G12" s="27" t="str">
        <f t="shared" si="2"/>
        <v>PASS</v>
      </c>
    </row>
    <row r="13">
      <c r="A13" s="4" t="s">
        <v>595</v>
      </c>
      <c r="B13" s="4" t="s">
        <v>596</v>
      </c>
      <c r="C13" s="4" t="s">
        <v>597</v>
      </c>
      <c r="D13" s="27">
        <f>COUNTA(Application_Stage_Assignment!$F$2:$F$26)</f>
        <v>25</v>
      </c>
      <c r="E13" s="27">
        <f>SUMPRODUCT((Application_Stage_Assignment!$F$2:$F$26&lt;&gt;"")*(ISNA(MATCH(Application_Stage_Assignment!$F$2:$F$26, Stage_Definitions!$B$2:$B$16, 0))))</f>
        <v>0</v>
      </c>
      <c r="F13" s="28">
        <f t="shared" si="1"/>
        <v>1</v>
      </c>
      <c r="G13" s="27" t="str">
        <f t="shared" si="2"/>
        <v>PASS</v>
      </c>
    </row>
    <row r="14">
      <c r="A14" s="4" t="s">
        <v>598</v>
      </c>
      <c r="B14" s="4" t="s">
        <v>599</v>
      </c>
      <c r="C14" s="4" t="s">
        <v>600</v>
      </c>
      <c r="D14" s="27">
        <f>COUNTA(Application_Stage_Assignment!$E$2:$E$26)</f>
        <v>25</v>
      </c>
      <c r="E14" s="27">
        <f>SUMPRODUCT((Application_Stage_Assignment!$E$2:$E$26&lt;&gt;"")*(ISNA(MATCH(Application_Stage_Assignment!$E$2:$E$26, Application_Routes!$B$2:$B$5, 0)))) + SUMPRODUCT((Application_Routes!$L$2:$L$5&lt;&gt;"")*(ISNA(MATCH(Application_Routes!$L$2:$L$5, Stage_Definitions!$B$2:$B$16, 0))))</f>
        <v>0</v>
      </c>
      <c r="F14" s="28">
        <f t="shared" si="1"/>
        <v>1</v>
      </c>
      <c r="G14" s="27" t="str">
        <f t="shared" si="2"/>
        <v>PASS</v>
      </c>
    </row>
    <row r="15">
      <c r="A15" s="4" t="s">
        <v>601</v>
      </c>
      <c r="B15" s="4" t="s">
        <v>602</v>
      </c>
      <c r="C15" s="4" t="s">
        <v>603</v>
      </c>
      <c r="D15" s="27">
        <f>COUNTA(Application_Stage_Assignment!$A$2:$A$26)</f>
        <v>25</v>
      </c>
      <c r="E15" s="27">
        <f>IFERROR(__xludf.DUMMYFUNCTION("SUMPRODUCT((Application_Stage_Assignment!$A$2:$A$26&lt;&gt;"""")*(REGEXMATCH(Application_Stage_Assignment!$A$2:$A$26, ""^APP[0-9]{3}$"")=FALSE)) + SUMPRODUCT((Application_Stage_Assignment!$B$2:$B$26&lt;&gt;"""")*(REGEXMATCH(Application_Stage_Assignment!$B$2:$B$26, """&amp;"^INST[0-9]{3}$"")=FALSE))"),0.0)</f>
        <v>0</v>
      </c>
      <c r="F15" s="28">
        <f t="shared" si="1"/>
        <v>1</v>
      </c>
      <c r="G15" s="27" t="str">
        <f t="shared" si="2"/>
        <v>PASS</v>
      </c>
    </row>
    <row r="16">
      <c r="A16" s="4" t="s">
        <v>604</v>
      </c>
      <c r="B16" s="4" t="s">
        <v>605</v>
      </c>
      <c r="C16" s="4" t="s">
        <v>606</v>
      </c>
      <c r="D16" s="27">
        <f>COUNTA(Application_Stage_Assignment!$G$2:$G$26) + COUNTA(Transition_Rules!$F$2:$F$25) + COUNTA(Stage_Definitions!$F$2:$F$16)</f>
        <v>64</v>
      </c>
      <c r="E16" s="27">
        <f>SUMPRODUCT((Application_Stage_Assignment!$G$2:$G$26&lt;&gt;"")*(ISNA(MATCH(Application_Stage_Assignment!$G$2:$G$26, Role_Permissions!$B$2:$B$12, 0)))) + SUMPRODUCT((Transition_Rules!$F$2:$F$25&lt;&gt;"")*(ISNA(MATCH(Transition_Rules!$F$2:$F$25, Role_Permissions!$C$2:$C$12, 0)))) + SUMPRODUCT((Stage_Definitions!$F$2:$F$16&lt;&gt;"")*(ISNA(MATCH(Stage_Definitions!$F$2:$F$16, Role_Permissions!$C$2:$C$12, 0))))</f>
        <v>0</v>
      </c>
      <c r="F16" s="28">
        <f t="shared" si="1"/>
        <v>1</v>
      </c>
      <c r="G16" s="27" t="str">
        <f t="shared" si="2"/>
        <v>PASS</v>
      </c>
    </row>
    <row r="17">
      <c r="A17" s="4" t="s">
        <v>607</v>
      </c>
      <c r="B17" s="4" t="s">
        <v>608</v>
      </c>
      <c r="C17" s="4" t="s">
        <v>609</v>
      </c>
      <c r="D17" s="27">
        <f>COUNTIF(Transition_Rules!$D$2:$D$25, "COMPLETED") + COUNTIF(Transition_Rules!$D$2:$D$25, "REJECTED")</f>
        <v>2</v>
      </c>
      <c r="E17" s="27">
        <f>COUNTIFS(Transition_Rules!$D$2:$D$25, "COMPLETED", Transition_Rules!$J$2:$J$25, TRUE) + COUNTIFS(Transition_Rules!$D$2:$D$25, "REJECTED", Transition_Rules!$J$2:$J$25, TRUE)</f>
        <v>0</v>
      </c>
      <c r="F17" s="28">
        <f t="shared" si="1"/>
        <v>1</v>
      </c>
      <c r="G17" s="27" t="str">
        <f t="shared" si="2"/>
        <v>PASS</v>
      </c>
    </row>
    <row r="19">
      <c r="A19" s="29"/>
    </row>
    <row r="20">
      <c r="A20" s="26" t="s">
        <v>610</v>
      </c>
      <c r="B20" s="30"/>
      <c r="C20" s="30"/>
      <c r="D20" s="30"/>
      <c r="E20" s="30"/>
      <c r="F20" s="30"/>
      <c r="G20" s="30"/>
    </row>
    <row r="21">
      <c r="A21" s="4" t="s">
        <v>611</v>
      </c>
      <c r="B21" s="4" t="s">
        <v>612</v>
      </c>
      <c r="C21" s="4" t="s">
        <v>613</v>
      </c>
      <c r="D21" s="4" t="s">
        <v>614</v>
      </c>
      <c r="E21" s="4" t="s">
        <v>615</v>
      </c>
      <c r="F21" s="4" t="s">
        <v>616</v>
      </c>
      <c r="G21" s="4" t="s">
        <v>617</v>
      </c>
    </row>
    <row r="22">
      <c r="A22" s="4" t="s">
        <v>618</v>
      </c>
      <c r="B22" s="4" t="s">
        <v>619</v>
      </c>
      <c r="C22" s="4" t="s">
        <v>620</v>
      </c>
      <c r="D22" s="27">
        <f>COUNTA(Application_Stage_Assignment!$A$2:$A$26)</f>
        <v>25</v>
      </c>
      <c r="E22" s="4" t="s">
        <v>621</v>
      </c>
      <c r="F22" s="4" t="s">
        <v>113</v>
      </c>
      <c r="G22" s="4" t="s">
        <v>622</v>
      </c>
    </row>
    <row r="23">
      <c r="A23" s="4" t="s">
        <v>623</v>
      </c>
      <c r="B23" s="4" t="s">
        <v>624</v>
      </c>
      <c r="C23" s="4" t="s">
        <v>625</v>
      </c>
      <c r="D23" s="27">
        <f>COUNTIF(Application_Stage_Assignment!$M$2:$M$26, "ON_TRACK")</f>
        <v>12</v>
      </c>
      <c r="E23" s="4" t="s">
        <v>626</v>
      </c>
      <c r="F23" s="4" t="s">
        <v>627</v>
      </c>
      <c r="G23" s="4" t="s">
        <v>628</v>
      </c>
    </row>
    <row r="24">
      <c r="A24" s="4" t="s">
        <v>629</v>
      </c>
      <c r="B24" s="4" t="s">
        <v>630</v>
      </c>
      <c r="C24" s="4" t="s">
        <v>631</v>
      </c>
      <c r="D24" s="27">
        <f>COUNTIF(Application_Stage_Assignment!$M$2:$M$26, "WARNING")</f>
        <v>6</v>
      </c>
      <c r="E24" s="4" t="s">
        <v>632</v>
      </c>
      <c r="F24" s="4" t="s">
        <v>633</v>
      </c>
      <c r="G24" s="4" t="s">
        <v>634</v>
      </c>
    </row>
    <row r="25">
      <c r="A25" s="4" t="s">
        <v>635</v>
      </c>
      <c r="B25" s="4" t="s">
        <v>636</v>
      </c>
      <c r="C25" s="4" t="s">
        <v>637</v>
      </c>
      <c r="D25" s="27">
        <f>COUNTIF(Application_Stage_Assignment!$M$2:$M$26, "BREACHED")</f>
        <v>2</v>
      </c>
      <c r="E25" s="4" t="s">
        <v>638</v>
      </c>
      <c r="F25" s="4" t="s">
        <v>639</v>
      </c>
      <c r="G25" s="4" t="s">
        <v>640</v>
      </c>
    </row>
    <row r="26">
      <c r="A26" s="4" t="s">
        <v>641</v>
      </c>
      <c r="B26" s="4" t="s">
        <v>642</v>
      </c>
      <c r="C26" s="4" t="s">
        <v>643</v>
      </c>
      <c r="D26" s="27">
        <f>COUNTIF(Application_Stage_Assignment!$M$2:$M$26, "COMPLETED")</f>
        <v>5</v>
      </c>
      <c r="E26" s="4" t="s">
        <v>644</v>
      </c>
      <c r="F26" s="4" t="s">
        <v>645</v>
      </c>
      <c r="G26" s="4" t="s">
        <v>646</v>
      </c>
    </row>
    <row r="27">
      <c r="A27" s="4" t="s">
        <v>647</v>
      </c>
      <c r="B27" s="4" t="s">
        <v>648</v>
      </c>
      <c r="C27" s="4" t="s">
        <v>649</v>
      </c>
      <c r="D27" s="27">
        <f>COUNTIF(Application_Stage_Assignment!$P$2:$P$26, "&gt;0")</f>
        <v>8</v>
      </c>
      <c r="E27" s="4" t="s">
        <v>650</v>
      </c>
      <c r="F27" s="4" t="s">
        <v>651</v>
      </c>
      <c r="G27" s="4" t="s">
        <v>652</v>
      </c>
    </row>
    <row r="28">
      <c r="A28" s="4" t="s">
        <v>653</v>
      </c>
      <c r="B28" s="4" t="s">
        <v>654</v>
      </c>
      <c r="C28" s="4" t="s">
        <v>655</v>
      </c>
      <c r="D28" s="27">
        <f>COUNTIF(Application_Stage_Assignment!$F$2:$F$26, "HIBERNATED")</f>
        <v>0</v>
      </c>
      <c r="E28" s="4" t="s">
        <v>656</v>
      </c>
      <c r="F28" s="4" t="s">
        <v>657</v>
      </c>
      <c r="G28" s="4" t="s">
        <v>658</v>
      </c>
    </row>
  </sheetData>
  <mergeCells count="4">
    <mergeCell ref="A1:G1"/>
    <mergeCell ref="A2:G2"/>
    <mergeCell ref="A8:G8"/>
    <mergeCell ref="A19:G19"/>
  </mergeCells>
  <drawing r:id="rId1"/>
  <tableParts count="2">
    <tablePart r:id="rId4"/>
    <tablePart r:id="rId5"/>
  </tableParts>
</worksheet>
</file>