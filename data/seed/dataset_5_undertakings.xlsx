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dertakings" sheetId="1" r:id="rId5"/>
    <sheet state="visible" name="Data_Dictionary" sheetId="2" r:id="rId6"/>
    <sheet state="visible" name="Read_Me" sheetId="3" r:id="rId7"/>
    <sheet state="visible" name="Validation_Report" sheetId="4" r:id="rId8"/>
  </sheets>
  <definedNames>
    <definedName hidden="1" localSheetId="0" name="_xlnm._FilterDatabase">Undertakings!$A$1:$S$11</definedName>
    <definedName hidden="1" localSheetId="1" name="_xlnm._FilterDatabase">Data_Dictionary!$A$1:$F$20</definedName>
  </definedNames>
  <calcPr/>
</workbook>
</file>

<file path=xl/sharedStrings.xml><?xml version="1.0" encoding="utf-8"?>
<sst xmlns="http://schemas.openxmlformats.org/spreadsheetml/2006/main" count="421" uniqueCount="303">
  <si>
    <t>AICTE APPROVAL WORKFLOW — COMPLIANCE TRACKING &amp; DATA VALIDATION REPORT</t>
  </si>
  <si>
    <t>undertaking_id</t>
  </si>
  <si>
    <t>Field_Name</t>
  </si>
  <si>
    <t>application_id</t>
  </si>
  <si>
    <t>institution_id</t>
  </si>
  <si>
    <t>obligation_type</t>
  </si>
  <si>
    <t>Field_Description</t>
  </si>
  <si>
    <t>obligation_description</t>
  </si>
  <si>
    <t>source_reference</t>
  </si>
  <si>
    <t>Data_Type</t>
  </si>
  <si>
    <t>Example_Value</t>
  </si>
  <si>
    <t>is_verified_regulatory_requirement</t>
  </si>
  <si>
    <t>Evaluation Reference Date</t>
  </si>
  <si>
    <t>Allowed_Values</t>
  </si>
  <si>
    <t>is_demo_rule</t>
  </si>
  <si>
    <t>Validation_Requirements</t>
  </si>
  <si>
    <t>issued_date</t>
  </si>
  <si>
    <t>due_date</t>
  </si>
  <si>
    <t>submitted_date</t>
  </si>
  <si>
    <t>assigned_role</t>
  </si>
  <si>
    <t>undertaking_status</t>
  </si>
  <si>
    <t>evidence_document_id</t>
  </si>
  <si>
    <t>verification_outcome</t>
  </si>
  <si>
    <t>verified_by</t>
  </si>
  <si>
    <t>Status</t>
  </si>
  <si>
    <t>verified_date</t>
  </si>
  <si>
    <t>last_updated</t>
  </si>
  <si>
    <t>demo_notes</t>
  </si>
  <si>
    <t>UND-2026-001</t>
  </si>
  <si>
    <t>Scope: Dataset_5_Undertakings_and_due_dates | Process: Regulatory Obligations &amp; SLA Monitoring | Project: SIH26262</t>
  </si>
  <si>
    <t>Unique alphanumeric identifier for each undertaking record</t>
  </si>
  <si>
    <t>APP012</t>
  </si>
  <si>
    <t>String</t>
  </si>
  <si>
    <t>INST012</t>
  </si>
  <si>
    <t>AFFIDAVIT_SUBMISSION</t>
  </si>
  <si>
    <t>Pattern: UND-YYYY-NNN</t>
  </si>
  <si>
    <t>Submission of registered Society/Trust compliance affidavit on non-judicial stamp paper</t>
  </si>
  <si>
    <t>Mandatory; Primary key; Unique across workbook</t>
  </si>
  <si>
    <t>UNVERIFIED — DEMO CONFIGURATION</t>
  </si>
  <si>
    <t>AICTE regulatory application identifier referencing Applications Master (Dataset 2)</t>
  </si>
  <si>
    <t>Section</t>
  </si>
  <si>
    <t>Valid Application IDs (APP001 to APP025) per Dataset 2 Master</t>
  </si>
  <si>
    <t>Mandatory; Foreign key referencing Dataset 2; Unmatched legacy keys flagged</t>
  </si>
  <si>
    <t>Details</t>
  </si>
  <si>
    <t>ROLE_INSTITUTION_ADMIN</t>
  </si>
  <si>
    <t>AICTE higher education institutional identifier referencing Institutions Master (Dataset 1)</t>
  </si>
  <si>
    <t>AWAITING_SUBMISSION</t>
  </si>
  <si>
    <t>Dataset Title &amp; Purpose</t>
  </si>
  <si>
    <t>ACTIVE MONITORING</t>
  </si>
  <si>
    <t>PENDING</t>
  </si>
  <si>
    <t>Dataset_5_Synthetic_Undertakings_and_Due_Dates: Built for SIH26262 AICTE Approval Workflow Automation and Compliance Monitoring prototype to track institutional obligations, statutory submissions, deficiency rectifications, and SLA timelines.</t>
  </si>
  <si>
    <t>Valid Institution IDs (INST001 to INST015) per Dataset 1 Master</t>
  </si>
  <si>
    <t>Mandatory; Foreign key referencing Dataset 1; Unmatched legacy keys flagged</t>
  </si>
  <si>
    <t>Reconciled to APP012 / INST012. Preserved synthetic draft/affidavit scenario for workflow testing.</t>
  </si>
  <si>
    <t>Synthetic Data Status &amp; Disclaimer</t>
  </si>
  <si>
    <t>UND-2026-002</t>
  </si>
  <si>
    <t>Categorical classification of regulatory or compliance obligation</t>
  </si>
  <si>
    <t>SYNTHETIC DEMO DATASET: Developed strictly for demonstration and testing purposes. Contains no actual confidential institutional data. Unverified obligations are marked with 'UNVERIFIED — DEMO CONFIGURATION', is_verified_regulatory_requirement = FALSE, and is_demo_rule = TRUE to avoid inventing statutory mandates.</t>
  </si>
  <si>
    <t>APP011</t>
  </si>
  <si>
    <t>Simulation Reference Date</t>
  </si>
  <si>
    <t>INST011</t>
  </si>
  <si>
    <t>2026-10-25: Used as the active anchor date for calculating dynamic due-soon (e.g. expiring on or within 3 days) and overdue (deadline elapsed) status states.</t>
  </si>
  <si>
    <t>TER_FEE_CHALLAN</t>
  </si>
  <si>
    <t>AFFIDAVIT_SUBMISSION, TER_FEE_CHALLAN, ODL_SECURITY_COMPLIANCE, FIRE_SAFETY_NOC, FACULTY_CADRE_RATIO, VENTILATION_COMPLIANCE, LMS_PORTAL_AFFIDAVIT, MERGER_TRUST_RESOLUTION, ENDOWMENT_FUND_DEPOSIT, EVC_GROUND_FACILITIES</t>
  </si>
  <si>
    <t>Upstream Dataset Relationships</t>
  </si>
  <si>
    <t>TER payment receipt and bank transaction reconciliation undertaking</t>
  </si>
  <si>
    <t>Mandatory; Must match standard obligation nomenclature</t>
  </si>
  <si>
    <t>Reconciled directly against Dataset 2 (Applications Master: APP001–APP025) and Dataset 1 (Institutions Master: INST001–INST015). 8 of 10 records maintain verified entity pairings (APP001/INST001, APP002/INST002, APP004/INST004, APP008/INST008, APP010/INST010, APP011/INST011, APP012/INST012, APP013/INST013). 2 records (UND-2026-003, UND-2026-006) preserve legacy IDs and are explicitly flagged due to foreign key conflicts without unverified guessing.</t>
  </si>
  <si>
    <t>Lifecycle Status Coverage</t>
  </si>
  <si>
    <t>Detailed description of the specific compliance requirement or submission expected</t>
  </si>
  <si>
    <t>Demonstrates full compliance lifecycle progression: AWAITING_SUBMISSION, DUE_SOON, OVERDUE, SUBMITTED, AWAITING_VERIFICATION, CORRECTION_REQUESTED, VERIFIED, and COMPLETED across past, present, and future statutory deadlines relative to 2026-10-25.</t>
  </si>
  <si>
    <t>Text</t>
  </si>
  <si>
    <t>Chronological &amp; Logical Consistency</t>
  </si>
  <si>
    <t>Chronology strictly validated: issued_date &lt;= submitted_date &lt;= verified_date &lt;= reference_date (2026-10-25). Overdue status is derived strictly from due date and submission state; overdue obligations never trigger automatic application rejection.</t>
  </si>
  <si>
    <t>Descriptive string</t>
  </si>
  <si>
    <t>Role-Based Access Control (RBAC)</t>
  </si>
  <si>
    <t>Mandatory; Max 250 characters</t>
  </si>
  <si>
    <t>Assigned roles align with governance standards: ROLE_INSTITUTION_ADMIN (Applicant), ROLE_RO_CASE_WORKER (Desk Officer), ROLE_SCRUTINY_MEMBER (Scrutiny Panel), ROLE_REGIONAL_OFFICER, ROLE_APPROVAL_BUREAU, ROLE_EXECUTIVE_COMMITTEE, and ROLE_EVC_EXPERT.</t>
  </si>
  <si>
    <t>DUE_SOON</t>
  </si>
  <si>
    <t>Integration &amp; System Caveats</t>
  </si>
  <si>
    <t>Statutory regulation clause, AICTE APH handbook section, or demo flag</t>
  </si>
  <si>
    <t>1. Reconciled foreign keys connect to Dataset 2 applications and Dataset 1 institutions; unmatched keys are audited in Validation Report VR-02. 2. Automated SLA timers monitor expiration relative to fixed benchmark 2026-10-25. 3. Evidence repository IDs adhere to DOC-YYYY-NNNN standard.</t>
  </si>
  <si>
    <t>Technical Formatting Standards</t>
  </si>
  <si>
    <t>All date attributes adhere to ISO 8601 (YYYY-MM-DD). Freeze rows applied, column widths auto-fitted, tabular number/text alignment standardized, and dynamic formula calculations linked to live records.</t>
  </si>
  <si>
    <t>Regulatory section or 'UNVERIFIED — DEMO CONFIGURATION'</t>
  </si>
  <si>
    <t>Mandatory; Must cite valid legal clause or explicit demo banner</t>
  </si>
  <si>
    <t>Reconciled to APP011 / INST011. 7-day payment window ends on reference date 2026-10-25; marked Due Soon.</t>
  </si>
  <si>
    <t>UND-2026-003</t>
  </si>
  <si>
    <t>Boolean flag indicating whether obligation is verified against published AICTE norms</t>
  </si>
  <si>
    <t>APP-2026-1024</t>
  </si>
  <si>
    <t>Boolean</t>
  </si>
  <si>
    <t>1-109283724</t>
  </si>
  <si>
    <t>ODL_SECURITY_COMPLIANCE</t>
  </si>
  <si>
    <t>TRUE, FALSE</t>
  </si>
  <si>
    <t>Undertaking on remote proctoring cybersecurity standards and student data privacy</t>
  </si>
  <si>
    <t>Mandatory; Set to FALSE for unverified synthetic rules</t>
  </si>
  <si>
    <t>TOTAL OBLIGATIONS</t>
  </si>
  <si>
    <t>Boolean flag indicating whether rule exists solely for prototype demonstration</t>
  </si>
  <si>
    <t>OVERDUE</t>
  </si>
  <si>
    <t>Mandatory; Set to TRUE for prototype-specific scenarios</t>
  </si>
  <si>
    <t>DEFICIENT</t>
  </si>
  <si>
    <t>Date when compliance obligation or deficiency notice was issued</t>
  </si>
  <si>
    <t>Date (ISO 8601)</t>
  </si>
  <si>
    <t>FLAGGED FK CONFLICT: 1-109283724 has no master match in Dataset 1 (INST001-INST015); in Dataset 2 APP024 maps to INST009. Preserved original IDs and overdue scenario without guessing.</t>
  </si>
  <si>
    <t>UND-2026-004</t>
  </si>
  <si>
    <t>APP002</t>
  </si>
  <si>
    <t>INST002</t>
  </si>
  <si>
    <t>YYYY-MM-DD</t>
  </si>
  <si>
    <t>FIRE_SAFETY_NOC</t>
  </si>
  <si>
    <t>Mandatory; Must be &lt;= due_date</t>
  </si>
  <si>
    <t>Statutory deadline or SLA cutoff date for fulfillment</t>
  </si>
  <si>
    <t>OVERDUE &amp; DUE SOON</t>
  </si>
  <si>
    <t>Mandatory; Must be &gt;= issued_date</t>
  </si>
  <si>
    <t>UNDER ACTIVE REVIEW</t>
  </si>
  <si>
    <t>Submission of renewed Fire &amp; Emergency Services NOC for additional floor area</t>
  </si>
  <si>
    <t>Date when evidence or compliance affidavit was uploaded by applicant</t>
  </si>
  <si>
    <t>YYYY-MM-DD, Blank</t>
  </si>
  <si>
    <t>VERIFIED &amp; APPROVED</t>
  </si>
  <si>
    <t>Optional; Populated only once submitted; Must be &gt;= issued_date</t>
  </si>
  <si>
    <t>ROLE_RO_CASE_WORKER</t>
  </si>
  <si>
    <t>SUBMITTED</t>
  </si>
  <si>
    <t>RBAC security role currently responsible for actioning or reviewing obligation</t>
  </si>
  <si>
    <t>DOC-2026-8812</t>
  </si>
  <si>
    <t>DATA INTEGRITY AUDIT</t>
  </si>
  <si>
    <t>ROLE_INSTITUTION_ADMIN, ROLE_RO_CASE_WORKER, ROLE_SCRUTINY_MEMBER, ROLE_REGIONAL_OFFICER, ROLE_APPROVAL_BUREAU, ROLE_EXECUTIVE_COMMITTEE, ROLE_EVC_EXPERT, ROLE_SAC_CHAIR</t>
  </si>
  <si>
    <t>Mandatory; Must reference Role_Permissions catalog</t>
  </si>
  <si>
    <t>Reconciled to APP002 / INST002. Fire safety certificate uploaded by institution; awaiting RO queue assignment.</t>
  </si>
  <si>
    <t>Current lifecycle state of compliance obligation</t>
  </si>
  <si>
    <t>UND-2026-005</t>
  </si>
  <si>
    <t>APP004</t>
  </si>
  <si>
    <t>INST004</t>
  </si>
  <si>
    <t>AWAITING_SUBMISSION, SUBMITTED, AWAITING_VERIFICATION, CORRECTION_REQUESTED, VERIFIED, DUE_SOON, OVERDUE, COMPLETED</t>
  </si>
  <si>
    <t>FACULTY_CADRE_RATIO</t>
  </si>
  <si>
    <t>Mandatory; Driven by reference date 2026-10-25 and workflow progression</t>
  </si>
  <si>
    <t>Undertaking and appointment orders confirming faculty-to-student cadre ratio compliance</t>
  </si>
  <si>
    <t>Alphanumeric repository document ID of uploaded evidence or affidavit</t>
  </si>
  <si>
    <t>Pattern: DOC-YYYY-NNNN, Blank</t>
  </si>
  <si>
    <t>Populated when submitted_date is not blank</t>
  </si>
  <si>
    <t>ROLE_SCRUTINY_MEMBER</t>
  </si>
  <si>
    <t>Evaluation result determined by assigned reviewing authority</t>
  </si>
  <si>
    <t>AWAITING_VERIFICATION</t>
  </si>
  <si>
    <t>DOC-2026-8819</t>
  </si>
  <si>
    <t>APPROVED</t>
  </si>
  <si>
    <t>PENDING, APPROVED, REVISION_REQUIRED, DEFICIENT</t>
  </si>
  <si>
    <t>Mandatory; PENDING prior to verification; APPROVED/REVISION_REQUIRED/DEFICIENT post-review</t>
  </si>
  <si>
    <t>Reconciled to APP004 / INST004. Faculty credentials uploaded; currently in active scrutiny panel evaluation queue.</t>
  </si>
  <si>
    <t>Role or officer identifier who conducted compliance verification</t>
  </si>
  <si>
    <t>UND-2026-006</t>
  </si>
  <si>
    <t>APP-2026-1019</t>
  </si>
  <si>
    <t>Role Code or Officer ID, Blank</t>
  </si>
  <si>
    <t>Populated when verification_outcome is not PENDING</t>
  </si>
  <si>
    <t>1-109283719</t>
  </si>
  <si>
    <t>Date when verification review was concluded and logged</t>
  </si>
  <si>
    <t>VENTILATION_COMPLIANCE</t>
  </si>
  <si>
    <t>Architectural blueprint and mechanical ventilation certificate for commercial training kitchen</t>
  </si>
  <si>
    <t>Must be &gt;= submitted_date; Populated when verified_by is present</t>
  </si>
  <si>
    <t>CORRECTION_REQUESTED</t>
  </si>
  <si>
    <t>DOC-2026-8790</t>
  </si>
  <si>
    <t>REVISION_REQUIRED</t>
  </si>
  <si>
    <t>Timestamp or date of most recent record alteration or audit event</t>
  </si>
  <si>
    <t>FLAGGED FK CONFLICT: 1-109283719 has no master match in Dataset 1 (INST001-INST015); in Dataset 2 APP019 maps to INST004. Preserved original IDs and correction scenario without guessing.</t>
  </si>
  <si>
    <t>UND-2026-007</t>
  </si>
  <si>
    <t>APP008</t>
  </si>
  <si>
    <t>INST008</t>
  </si>
  <si>
    <t>LMS_PORTAL_AFFIDAVIT</t>
  </si>
  <si>
    <t>Contextual explanatory annotations regarding workflow logic, SLA calculations, or edge cases</t>
  </si>
  <si>
    <t>Affidavit certifying high-availability cloud infrastructure and 24x7 learner support LMS portal</t>
  </si>
  <si>
    <t>Application in Draft stage; applicant preparing mandatory affidavit upload.</t>
  </si>
  <si>
    <t>Freeform string</t>
  </si>
  <si>
    <t>Optional; Explains synthetic context and testing scenarios</t>
  </si>
  <si>
    <t>ROLE_APPROVAL_BUREAU</t>
  </si>
  <si>
    <t>VERIFIED</t>
  </si>
  <si>
    <t>DOC-2026-8604</t>
  </si>
  <si>
    <t>Reconciled to APP008 / INST008. LMS cloud hosting demo verified; cleared for Executive Committee determination.</t>
  </si>
  <si>
    <t>UND-2026-008</t>
  </si>
  <si>
    <t>APP010</t>
  </si>
  <si>
    <t>INST010</t>
  </si>
  <si>
    <t>MERGER_TRUST_RESOLUTION</t>
  </si>
  <si>
    <t>Joint resolution of sponsoring trusts regarding unified asset handover and student continuity</t>
  </si>
  <si>
    <t>ROLE_REGIONAL_OFFICER</t>
  </si>
  <si>
    <t>DOC-2026-8512</t>
  </si>
  <si>
    <t>Reconciled to APP010 / INST010. On-site merger inspection confirmed asset transfer; RO endorsed approval.</t>
  </si>
  <si>
    <t>UND-2026-009</t>
  </si>
  <si>
    <t>APP013</t>
  </si>
  <si>
    <t>INST013</t>
  </si>
  <si>
    <t>ENDOWMENT_FUND_DEPOSIT</t>
  </si>
  <si>
    <t>Fixed deposit receipt in joint name of AICTE and Trust as mandatory corpus security</t>
  </si>
  <si>
    <t>ROLE_EXECUTIVE_COMMITTEE</t>
  </si>
  <si>
    <t>COMPLETED</t>
  </si>
  <si>
    <t>DOC-2026-8340</t>
  </si>
  <si>
    <t>Reconciled to APP013 / INST013. Corpus deposit verified and locked; final Letter of Approval (LoA) issued.</t>
  </si>
  <si>
    <t>UND-2026-010</t>
  </si>
  <si>
    <t>APP001</t>
  </si>
  <si>
    <t>INST001</t>
  </si>
  <si>
    <t>EVC_GROUND_FACILITIES</t>
  </si>
  <si>
    <t>Readiness undertaking for physical inspection of laboratories, barrier-free access, and hostel</t>
  </si>
  <si>
    <t>ROLE_EVC_EXPERT</t>
  </si>
  <si>
    <t>DOC-2026-8855</t>
  </si>
  <si>
    <t>Reconciled to APP001 / INST001. Ground readiness affidavit submitted; EVC committee scheduled for Oct 28 inspection.</t>
  </si>
  <si>
    <t>10 Total Mandates Monitored</t>
  </si>
  <si>
    <t>Scrutiny &amp; Inspection Queues</t>
  </si>
  <si>
    <t>Rule ID</t>
  </si>
  <si>
    <t>Attribute Tested</t>
  </si>
  <si>
    <t>Validation Standard &amp; Rule Specification</t>
  </si>
  <si>
    <t>Scope / Logic</t>
  </si>
  <si>
    <t>Total Tested</t>
  </si>
  <si>
    <t>Passed</t>
  </si>
  <si>
    <t>Flagged</t>
  </si>
  <si>
    <t>Compliance %</t>
  </si>
  <si>
    <t>Audit Result</t>
  </si>
  <si>
    <t>Audit Findings &amp; Remarks</t>
  </si>
  <si>
    <t>VR-01</t>
  </si>
  <si>
    <t>Primary key uniqueness and UND-YYYY-NNN format</t>
  </si>
  <si>
    <t>Undertakings!A2:A11</t>
  </si>
  <si>
    <t>All 10 IDs unique and conform to standard format</t>
  </si>
  <si>
    <t>VR-02</t>
  </si>
  <si>
    <t>application_id &amp; institution_id</t>
  </si>
  <si>
    <t>Mandatory foreign keys referencing active master entities (Dataset 2 &amp; Dataset 1)</t>
  </si>
  <si>
    <t>Undertakings!B2:C11</t>
  </si>
  <si>
    <t>8 verified master pairings; 2 legacy records flagged for foreign key mismatch (UND-2026-003, UND-2026-006)</t>
  </si>
  <si>
    <t>VR-03</t>
  </si>
  <si>
    <t>due_date vs issued_date</t>
  </si>
  <si>
    <t>Chronological integrity: due_date &gt;= issued_date</t>
  </si>
  <si>
    <t>Undertakings!I2:J11</t>
  </si>
  <si>
    <t>All statutory due dates are strictly &gt;= issued date</t>
  </si>
  <si>
    <t>VR-04</t>
  </si>
  <si>
    <t>Mandatory repository document ID when submitted</t>
  </si>
  <si>
    <t>Undertakings!K2:N11</t>
  </si>
  <si>
    <t>100% of submitted obligations have valid document IDs</t>
  </si>
  <si>
    <t>VR-05</t>
  </si>
  <si>
    <t>verification_outcome &amp; reviewer</t>
  </si>
  <si>
    <t>Officer sign-off populated for concluded reviews</t>
  </si>
  <si>
    <t>Undertakings!O2:Q11</t>
  </si>
  <si>
    <t>All 4 peer-reviewed decisions contain reviewer role and timestamp</t>
  </si>
  <si>
    <t>VR-06</t>
  </si>
  <si>
    <t>Status values adhere to prescribed lifecycle ontology</t>
  </si>
  <si>
    <t>Undertakings!M2:M11</t>
  </si>
  <si>
    <t>All 10 records match authorized lifecycle states</t>
  </si>
  <si>
    <t>VR-07</t>
  </si>
  <si>
    <t>is_verified_reg &amp; is_demo</t>
  </si>
  <si>
    <t>Synthetic governance flags: FALSE verification &amp; DEMO banner</t>
  </si>
  <si>
    <t>Undertakings!F2:H11</t>
  </si>
  <si>
    <t>Governance banner and synthetic flags correctly asserted</t>
  </si>
  <si>
    <t>SUMMARY</t>
  </si>
  <si>
    <t>All 7 Audit Tests</t>
  </si>
  <si>
    <t>Comprehensive Data Dictionary &amp; Regulatory Verification</t>
  </si>
  <si>
    <t>Dataset_5!A:S</t>
  </si>
  <si>
    <t>Undertaking ID</t>
  </si>
  <si>
    <t>Institution &amp; Application</t>
  </si>
  <si>
    <t>Obligation Type</t>
  </si>
  <si>
    <t>Statutory Due Date</t>
  </si>
  <si>
    <t>Submitted Date</t>
  </si>
  <si>
    <t>Assigned RBAC Role</t>
  </si>
  <si>
    <t>Lifecycle Status</t>
  </si>
  <si>
    <t>Days to Due (Ref 2026-10-25)</t>
  </si>
  <si>
    <t>Verification Outcome</t>
  </si>
  <si>
    <t>Action Required &amp; Bottleneck Alert</t>
  </si>
  <si>
    <t>SLA METRICS</t>
  </si>
  <si>
    <t>10 Obligations Tracked</t>
  </si>
  <si>
    <t>All Mandate Types</t>
  </si>
  <si>
    <t>Anchor: 2026-10-25</t>
  </si>
  <si>
    <t>7 Review Roles</t>
  </si>
  <si>
    <t>Action required on 2 urgent items</t>
  </si>
  <si>
    <t>SLA Legend: Days to Due is computed dynamically relative to Reference Date 2026-10-25 ($I$3). Negative values denote days elapsed past statutory cutoff.</t>
  </si>
  <si>
    <t>INSTITUTION COMPLIANCE &amp; RISK BREAKDOWN</t>
  </si>
  <si>
    <t>VERIFICATION OUTCOME &amp; WORKFLOW DISTRIBUTION</t>
  </si>
  <si>
    <t>Institution ID</t>
  </si>
  <si>
    <t>Application ID</t>
  </si>
  <si>
    <t>Obligation Status</t>
  </si>
  <si>
    <t>SLA / Risk Level</t>
  </si>
  <si>
    <t>Category / Status</t>
  </si>
  <si>
    <t>Classification</t>
  </si>
  <si>
    <t>Record Count</t>
  </si>
  <si>
    <t>Share of Total</t>
  </si>
  <si>
    <t>Operational Status / Action</t>
  </si>
  <si>
    <t>On Track (EVC Inspection)</t>
  </si>
  <si>
    <t>Cleared &amp; Endorsed by Authority</t>
  </si>
  <si>
    <t>On Track (RO Queue)</t>
  </si>
  <si>
    <t>Applicant Resubmission Required</t>
  </si>
  <si>
    <t>In Review (Scrutiny)</t>
  </si>
  <si>
    <t>SLA Missed; Standing Appeal Panel</t>
  </si>
  <si>
    <t>Cleared (Verified)</t>
  </si>
  <si>
    <t>In Submission or Review Pipeline</t>
  </si>
  <si>
    <t>Draft stage applicant upload</t>
  </si>
  <si>
    <t>Attention (Due Today)</t>
  </si>
  <si>
    <t>Expires today on anchor date</t>
  </si>
  <si>
    <t>Pending Upload</t>
  </si>
  <si>
    <t>SLA breach; SAC escalation</t>
  </si>
  <si>
    <t>Cleared (Completed)</t>
  </si>
  <si>
    <t>Active scrutiny evaluation</t>
  </si>
  <si>
    <t>Deficiency (Revision Req.) | FK Conflict</t>
  </si>
  <si>
    <t>Awaiting applicant correction</t>
  </si>
  <si>
    <t>CRITICAL (Overdue SLA) | FK Conflict</t>
  </si>
  <si>
    <t>VERIFIED &amp; COMPLETED</t>
  </si>
  <si>
    <t>Final bureau sign-off / LoA</t>
  </si>
  <si>
    <t>PORTFOLIO TOTAL</t>
  </si>
  <si>
    <t>10 Institutions</t>
  </si>
  <si>
    <t>1 Overdue | 1 Due Soon</t>
  </si>
  <si>
    <t>OUTCOME TOTAL</t>
  </si>
  <si>
    <t>All 10 Obligations</t>
  </si>
  <si>
    <t>100.0% Regulatory Accountability</t>
  </si>
  <si>
    <t>EXECUTIVE SUMMARY &amp; REGULATORY TAKEAWAY</t>
  </si>
  <si>
    <t>Of the 10 monitored institutional undertakings as of 2026-10-25: 3 (30%) are approved, 2 (20%) verified/completed, 4 (40%) in active review, 1 (10%) due today (INST011), and 1 (10%) overdue (UND-2026-003). 8 records verified against Dataset 2 &amp; 1 masters; 2 legacy records flagged for unverified foreign key conflicts.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</si>
</sst>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%"/>
    <numFmt numFmtId="166" formatCode="+0&quot;d left&quot;;-0&quot;d overdue&quot;;&quot;Due Today&quot;"/>
  </numFmts>
  <fonts count="23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b/>
      <sz val="10.0"/>
      <color rgb="FFFFFFFF"/>
      <name val="Arial"/>
      <scheme val="minor"/>
    </font>
    <font/>
    <font>
      <b/>
      <sz val="9.0"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9.0"/>
      <color rgb="FFD5E2FF"/>
      <name val="Arial"/>
      <scheme val="minor"/>
    </font>
    <font>
      <b/>
      <sz val="11.0"/>
      <color rgb="FF1A365D"/>
      <name val="Arial"/>
      <scheme val="minor"/>
    </font>
    <font>
      <b/>
      <sz val="9.0"/>
      <color rgb="FF244677"/>
      <name val="Arial"/>
      <scheme val="minor"/>
    </font>
    <font>
      <sz val="9.0"/>
      <color rgb="FF181C1F"/>
      <name val="Roboto"/>
    </font>
    <font>
      <b/>
      <sz val="18.0"/>
      <color rgb="FF1A365D"/>
      <name val="Arial"/>
      <scheme val="minor"/>
    </font>
    <font>
      <b/>
      <sz val="18.0"/>
      <color rgb="FFC5211F"/>
      <name val="Arial"/>
      <scheme val="minor"/>
    </font>
    <font>
      <b/>
      <sz val="18.0"/>
      <color rgb="FFAF5F00"/>
      <name val="Arial"/>
      <scheme val="minor"/>
    </font>
    <font>
      <b/>
      <sz val="18.0"/>
      <color rgb="FF137333"/>
      <name val="Arial"/>
      <scheme val="minor"/>
    </font>
    <font>
      <sz val="8.0"/>
      <color rgb="FF3D4657"/>
      <name val="Arial"/>
      <scheme val="minor"/>
    </font>
    <font>
      <b/>
      <sz val="8.0"/>
      <color rgb="FFC5211F"/>
      <name val="Arial"/>
      <scheme val="minor"/>
    </font>
    <font>
      <sz val="8.0"/>
      <color rgb="FFAF5F00"/>
      <name val="Arial"/>
      <scheme val="minor"/>
    </font>
    <font>
      <sz val="8.0"/>
      <color rgb="FF137333"/>
      <name val="Arial"/>
      <scheme val="minor"/>
    </font>
    <font>
      <b/>
      <sz val="9.0"/>
      <color rgb="FF181C1F"/>
      <name val="Roboto"/>
    </font>
    <font>
      <b/>
      <sz val="9.0"/>
      <color rgb="FF1A365D"/>
      <name val="Arial"/>
      <scheme val="minor"/>
    </font>
    <font>
      <i/>
      <sz val="8.0"/>
      <color rgb="FF3D4657"/>
      <name val="Arial"/>
      <scheme val="minor"/>
    </font>
    <font>
      <sz val="9.0"/>
      <color rgb="FF181C1F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1E3989"/>
        <bgColor rgb="FF1E3989"/>
      </patternFill>
    </fill>
    <fill>
      <patternFill patternType="solid">
        <fgColor rgb="FFF9F8FF"/>
        <bgColor rgb="FFF9F8FF"/>
      </patternFill>
    </fill>
    <fill>
      <patternFill patternType="solid">
        <fgColor rgb="FF244677"/>
        <bgColor rgb="FF244677"/>
      </patternFill>
    </fill>
    <fill>
      <patternFill patternType="solid">
        <fgColor rgb="FFFFFFFF"/>
        <bgColor rgb="FFFFFFFF"/>
      </patternFill>
    </fill>
    <fill>
      <patternFill patternType="solid">
        <fgColor rgb="FFD9E2F8"/>
        <bgColor rgb="FFD9E2F8"/>
      </patternFill>
    </fill>
    <fill>
      <patternFill patternType="solid">
        <fgColor rgb="FF3E5F90"/>
        <bgColor rgb="FF3E5F90"/>
      </patternFill>
    </fill>
    <fill>
      <patternFill patternType="solid">
        <fgColor rgb="FFFBE8E6"/>
        <bgColor rgb="FFFBE8E6"/>
      </patternFill>
    </fill>
    <fill>
      <patternFill patternType="solid">
        <fgColor rgb="FFFDF7DF"/>
        <bgColor rgb="FFFDF7DF"/>
      </patternFill>
    </fill>
    <fill>
      <patternFill patternType="solid">
        <fgColor rgb="FFE6F4EA"/>
        <bgColor rgb="FFE6F4EA"/>
      </patternFill>
    </fill>
    <fill>
      <patternFill patternType="solid">
        <fgColor rgb="FFECECF4"/>
        <bgColor rgb="FFECECF4"/>
      </patternFill>
    </fill>
    <fill>
      <patternFill patternType="solid">
        <fgColor rgb="FFEFF4F8"/>
        <bgColor rgb="FFEFF4F8"/>
      </patternFill>
    </fill>
  </fills>
  <borders count="40">
    <border/>
    <border>
      <left style="medium">
        <color rgb="FF1A365D"/>
      </left>
      <top style="medium">
        <color rgb="FF1A365D"/>
      </top>
      <bottom style="thin">
        <color rgb="FFCCD1DB"/>
      </bottom>
    </border>
    <border>
      <top style="medium">
        <color rgb="FF1A365D"/>
      </top>
      <bottom style="thin">
        <color rgb="FFCCD1DB"/>
      </bottom>
    </border>
    <border>
      <right style="thin">
        <color rgb="FFCCD1DB"/>
      </right>
      <top style="medium">
        <color rgb="FF1A365D"/>
      </top>
      <bottom style="thin">
        <color rgb="FFCCD1DB"/>
      </bottom>
    </border>
    <border>
      <left style="thin">
        <color rgb="FFCCD1DB"/>
      </left>
      <top style="medium">
        <color rgb="FF1A365D"/>
      </top>
      <bottom style="thin">
        <color rgb="FFCCD1DB"/>
      </bottom>
    </border>
    <border>
      <left style="thin">
        <color rgb="FFCCD1DB"/>
      </left>
      <right style="medium">
        <color rgb="FF1A365D"/>
      </right>
      <top style="medium">
        <color rgb="FF1A365D"/>
      </top>
      <bottom style="thin">
        <color rgb="FFCCD1DB"/>
      </bottom>
    </border>
    <border>
      <left style="medium">
        <color rgb="FF1A365D"/>
      </left>
      <top style="thin">
        <color rgb="FFCCD1DB"/>
      </top>
      <bottom style="medium">
        <color rgb="FF1A365D"/>
      </bottom>
    </border>
    <border>
      <top style="thin">
        <color rgb="FFCCD1DB"/>
      </top>
      <bottom style="medium">
        <color rgb="FF1A365D"/>
      </bottom>
    </border>
    <border>
      <right style="thin">
        <color rgb="FFCCD1DB"/>
      </right>
      <top style="thin">
        <color rgb="FFCCD1DB"/>
      </top>
      <bottom style="medium">
        <color rgb="FF1A365D"/>
      </bottom>
    </border>
    <border>
      <left style="thin">
        <color rgb="FFCCD1DB"/>
      </left>
      <top style="thin">
        <color rgb="FFCCD1DB"/>
      </top>
      <bottom style="medium">
        <color rgb="FF1A365D"/>
      </bottom>
    </border>
    <border>
      <left style="thin">
        <color rgb="FFCCD1DB"/>
      </left>
      <right style="medium">
        <color rgb="FF1A365D"/>
      </right>
      <top style="thin">
        <color rgb="FFCCD1DB"/>
      </top>
      <bottom style="medium">
        <color rgb="FF1A365D"/>
      </bottom>
    </border>
    <border>
      <left style="thin">
        <color rgb="FF74777E"/>
      </left>
      <top style="thin">
        <color rgb="FF74777E"/>
      </top>
      <bottom style="thin">
        <color rgb="FFD8DDE5"/>
      </bottom>
    </border>
    <border>
      <right style="thin">
        <color rgb="FF74777E"/>
      </right>
      <top style="thin">
        <color rgb="FF74777E"/>
      </top>
      <bottom style="thin">
        <color rgb="FFD8DDE5"/>
      </bottom>
    </border>
    <border>
      <left style="thin">
        <color rgb="FF74777E"/>
      </left>
      <top style="thin">
        <color rgb="FFD8DDE5"/>
      </top>
      <bottom style="thin">
        <color rgb="FFD8DDE5"/>
      </bottom>
    </border>
    <border>
      <right style="thin">
        <color rgb="FF74777E"/>
      </right>
      <top style="thin">
        <color rgb="FFD8DDE5"/>
      </top>
      <bottom style="thin">
        <color rgb="FFD8DDE5"/>
      </bottom>
    </border>
    <border>
      <left style="thin">
        <color rgb="FF74777E"/>
      </left>
      <top style="thin">
        <color rgb="FFD8DDE5"/>
      </top>
      <bottom style="thin">
        <color rgb="FF74777E"/>
      </bottom>
    </border>
    <border>
      <right style="thin">
        <color rgb="FF74777E"/>
      </right>
      <top style="thin">
        <color rgb="FFD8DDE5"/>
      </top>
      <bottom style="thin">
        <color rgb="FF74777E"/>
      </bottom>
    </border>
    <border>
      <left style="thin">
        <color rgb="FFC4C6D1"/>
      </left>
      <right style="thin">
        <color rgb="FFE0E2EA"/>
      </right>
      <top style="medium">
        <color rgb="FF244677"/>
      </top>
      <bottom style="thin">
        <color rgb="FFE0E2EA"/>
      </bottom>
    </border>
    <border>
      <left style="thin">
        <color rgb="FFE0E2EA"/>
      </left>
      <right style="thin">
        <color rgb="FFE0E2EA"/>
      </right>
      <top style="medium">
        <color rgb="FF244677"/>
      </top>
      <bottom style="thin">
        <color rgb="FFE0E2EA"/>
      </bottom>
    </border>
    <border>
      <left style="thin">
        <color rgb="FFE0E2EA"/>
      </left>
      <right style="thin">
        <color rgb="FFC4C6D1"/>
      </right>
      <top style="medium">
        <color rgb="FF244677"/>
      </top>
      <bottom style="thin">
        <color rgb="FFE0E2EA"/>
      </bottom>
    </border>
    <border>
      <left style="thin">
        <color rgb="FFC4C6D1"/>
      </left>
      <right style="thin">
        <color rgb="FFE0E2EA"/>
      </right>
      <top style="thin">
        <color rgb="FFE0E2EA"/>
      </top>
      <bottom style="thin">
        <color rgb="FFE0E2EA"/>
      </bottom>
    </border>
    <border>
      <left style="thin">
        <color rgb="FFE0E2EA"/>
      </left>
      <right style="thin">
        <color rgb="FFE0E2EA"/>
      </right>
      <top style="thin">
        <color rgb="FFE0E2EA"/>
      </top>
      <bottom style="thin">
        <color rgb="FFE0E2EA"/>
      </bottom>
    </border>
    <border>
      <left style="thin">
        <color rgb="FFE0E2EA"/>
      </left>
      <right style="thin">
        <color rgb="FFC4C6D1"/>
      </right>
      <top style="thin">
        <color rgb="FFE0E2EA"/>
      </top>
      <bottom style="thin">
        <color rgb="FFE0E2EA"/>
      </bottom>
    </border>
    <border>
      <left style="thin">
        <color rgb="FFC4C6D1"/>
      </left>
      <right style="thin">
        <color rgb="FFE0E2EA"/>
      </right>
      <top style="thin">
        <color rgb="FFE0E2EA"/>
      </top>
      <bottom style="double">
        <color rgb="FF1A365D"/>
      </bottom>
    </border>
    <border>
      <left style="thin">
        <color rgb="FFE0E2EA"/>
      </left>
      <right style="thin">
        <color rgb="FFE0E2EA"/>
      </right>
      <top style="thin">
        <color rgb="FFE0E2EA"/>
      </top>
      <bottom style="double">
        <color rgb="FF1A365D"/>
      </bottom>
    </border>
    <border>
      <left style="thin">
        <color rgb="FFE0E2EA"/>
      </left>
      <right style="thin">
        <color rgb="FFC4C6D1"/>
      </right>
      <top style="thin">
        <color rgb="FFE0E2EA"/>
      </top>
      <bottom style="double">
        <color rgb="FF1A365D"/>
      </bottom>
    </border>
    <border>
      <left style="thin">
        <color rgb="FFC4C6D1"/>
      </left>
      <top style="thin">
        <color rgb="FFE0E2EA"/>
      </top>
      <bottom style="thin">
        <color rgb="FFC4C6D1"/>
      </bottom>
    </border>
    <border>
      <top style="thin">
        <color rgb="FFE0E2EA"/>
      </top>
      <bottom style="thin">
        <color rgb="FFC4C6D1"/>
      </bottom>
    </border>
    <border>
      <right style="thin">
        <color rgb="FFC4C6D1"/>
      </right>
      <top style="thin">
        <color rgb="FFE0E2EA"/>
      </top>
      <bottom style="thin">
        <color rgb="FFC4C6D1"/>
      </bottom>
    </border>
    <border>
      <left style="thin">
        <color rgb="FFC4C6D1"/>
      </left>
      <top style="medium">
        <color rgb="FF1A365D"/>
      </top>
      <bottom style="thin">
        <color rgb="FFE0E2EA"/>
      </bottom>
    </border>
    <border>
      <top style="medium">
        <color rgb="FF1A365D"/>
      </top>
      <bottom style="thin">
        <color rgb="FFE0E2EA"/>
      </bottom>
    </border>
    <border>
      <right style="thin">
        <color rgb="FFE0E2EA"/>
      </right>
      <top style="medium">
        <color rgb="FF1A365D"/>
      </top>
      <bottom style="thin">
        <color rgb="FFE0E2EA"/>
      </bottom>
    </border>
    <border>
      <left style="thin">
        <color rgb="FFE0E2EA"/>
      </left>
      <top style="medium">
        <color rgb="FF1A365D"/>
      </top>
      <bottom style="thin">
        <color rgb="FFE0E2EA"/>
      </bottom>
    </border>
    <border>
      <right style="thin">
        <color rgb="FFC4C6D1"/>
      </right>
      <top style="medium">
        <color rgb="FF1A365D"/>
      </top>
      <bottom style="thin">
        <color rgb="FFE0E2EA"/>
      </bottom>
    </border>
    <border>
      <left style="thin">
        <color rgb="FFC4C6D1"/>
      </left>
      <top style="thin">
        <color rgb="FFE0E2EA"/>
      </top>
      <bottom style="thin">
        <color rgb="FFE0E2EA"/>
      </bottom>
    </border>
    <border>
      <top style="thin">
        <color rgb="FFE0E2EA"/>
      </top>
      <bottom style="thin">
        <color rgb="FFE0E2EA"/>
      </bottom>
    </border>
    <border>
      <right style="thin">
        <color rgb="FFC4C6D1"/>
      </right>
      <top style="thin">
        <color rgb="FFE0E2EA"/>
      </top>
      <bottom style="thin">
        <color rgb="FFE0E2EA"/>
      </bottom>
    </border>
    <border>
      <left style="thin">
        <color rgb="FFC4C6D1"/>
      </left>
      <top style="thin">
        <color rgb="FFE0E2EA"/>
      </top>
      <bottom style="medium">
        <color rgb="FF1A365D"/>
      </bottom>
    </border>
    <border>
      <top style="thin">
        <color rgb="FFE0E2EA"/>
      </top>
      <bottom style="medium">
        <color rgb="FF1A365D"/>
      </bottom>
    </border>
    <border>
      <right style="thin">
        <color rgb="FFC4C6D1"/>
      </right>
      <top style="thin">
        <color rgb="FFE0E2EA"/>
      </top>
      <bottom style="medium">
        <color rgb="FF1A365D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readingOrder="0" vertical="center"/>
    </xf>
    <xf borderId="5" fillId="2" fontId="4" numFmtId="0" xfId="0" applyAlignment="1" applyBorder="1" applyFill="1" applyFont="1">
      <alignment horizontal="center" readingOrder="0" vertical="center"/>
    </xf>
    <xf borderId="0" fillId="4" fontId="5" numFmtId="0" xfId="0" applyAlignment="1" applyFill="1" applyFont="1">
      <alignment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6" fillId="5" fontId="7" numFmtId="0" xfId="0" applyAlignment="1" applyBorder="1" applyFill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0" fillId="6" fontId="5" numFmtId="0" xfId="0" applyAlignment="1" applyFill="1" applyFont="1">
      <alignment readingOrder="0"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4" fontId="6" numFmtId="164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4" fontId="6" numFmtId="164" xfId="0" applyAlignment="1" applyFill="1" applyFont="1" applyNumberFormat="1">
      <alignment horizontal="center" shrinkToFit="0" vertical="center" wrapText="1"/>
    </xf>
    <xf borderId="9" fillId="6" fontId="8" numFmtId="164" xfId="0" applyAlignment="1" applyBorder="1" applyFill="1" applyFont="1" applyNumberFormat="1">
      <alignment horizontal="center" readingOrder="0" vertical="center"/>
    </xf>
    <xf borderId="0" fillId="4" fontId="6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shrinkToFit="0" vertical="top" wrapText="1"/>
    </xf>
    <xf borderId="10" fillId="7" fontId="9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6" fontId="6" numFmtId="164" xfId="0" applyAlignment="1" applyFill="1" applyFont="1" applyNumberFormat="1">
      <alignment horizontal="center" readingOrder="0" shrinkToFit="0" vertical="center" wrapText="1"/>
    </xf>
    <xf borderId="0" fillId="6" fontId="6" numFmtId="164" xfId="0" applyAlignment="1" applyFill="1" applyFont="1" applyNumberFormat="1">
      <alignment horizontal="center" shrinkToFit="0" vertical="center" wrapText="1"/>
    </xf>
    <xf borderId="0" fillId="6" fontId="6" numFmtId="0" xfId="0" applyAlignment="1" applyFill="1" applyFont="1">
      <alignment horizontal="center" shrinkToFit="0" vertical="center" wrapText="1"/>
    </xf>
    <xf borderId="11" fillId="8" fontId="4" numFmtId="0" xfId="0" applyAlignment="1" applyBorder="1" applyFill="1" applyFont="1">
      <alignment horizontal="center" readingOrder="0" vertical="center"/>
    </xf>
    <xf borderId="0" fillId="4" fontId="6" numFmtId="164" xfId="0" applyAlignment="1" applyFill="1" applyFont="1" applyNumberFormat="1">
      <alignment readingOrder="0" shrinkToFit="0" vertical="center" wrapText="1"/>
    </xf>
    <xf borderId="12" fillId="0" fontId="3" numFmtId="0" xfId="0" applyBorder="1" applyFont="1"/>
    <xf borderId="0" fillId="6" fontId="6" numFmtId="164" xfId="0" applyAlignment="1" applyFill="1" applyFont="1" applyNumberFormat="1">
      <alignment readingOrder="0" shrinkToFit="0" vertical="center" wrapText="1"/>
    </xf>
    <xf borderId="13" fillId="6" fontId="11" numFmtId="3" xfId="0" applyAlignment="1" applyBorder="1" applyFill="1" applyFont="1" applyNumberFormat="1">
      <alignment horizontal="center" vertical="center"/>
    </xf>
    <xf borderId="14" fillId="0" fontId="3" numFmtId="0" xfId="0" applyBorder="1" applyFont="1"/>
    <xf borderId="13" fillId="9" fontId="12" numFmtId="3" xfId="0" applyAlignment="1" applyBorder="1" applyFill="1" applyFont="1" applyNumberFormat="1">
      <alignment horizontal="center" vertical="center"/>
    </xf>
    <xf borderId="13" fillId="10" fontId="13" numFmtId="3" xfId="0" applyAlignment="1" applyBorder="1" applyFill="1" applyFont="1" applyNumberFormat="1">
      <alignment horizontal="center" vertical="center"/>
    </xf>
    <xf borderId="13" fillId="11" fontId="14" numFmtId="3" xfId="0" applyAlignment="1" applyBorder="1" applyFill="1" applyFont="1" applyNumberFormat="1">
      <alignment horizontal="center" vertical="center"/>
    </xf>
    <xf borderId="13" fillId="11" fontId="14" numFmtId="165" xfId="0" applyAlignment="1" applyBorder="1" applyFill="1" applyFont="1" applyNumberFormat="1">
      <alignment horizontal="center" vertical="center"/>
    </xf>
    <xf borderId="15" fillId="12" fontId="15" numFmtId="0" xfId="0" applyAlignment="1" applyBorder="1" applyFill="1" applyFont="1">
      <alignment horizontal="center" readingOrder="0" vertical="center"/>
    </xf>
    <xf borderId="16" fillId="0" fontId="3" numFmtId="0" xfId="0" applyBorder="1" applyFont="1"/>
    <xf borderId="15" fillId="9" fontId="16" numFmtId="0" xfId="0" applyAlignment="1" applyBorder="1" applyFill="1" applyFont="1">
      <alignment horizontal="center" vertical="center"/>
    </xf>
    <xf borderId="15" fillId="10" fontId="17" numFmtId="0" xfId="0" applyAlignment="1" applyBorder="1" applyFill="1" applyFont="1">
      <alignment horizontal="center" readingOrder="0" vertical="center"/>
    </xf>
    <xf borderId="15" fillId="11" fontId="18" numFmtId="0" xfId="0" applyAlignment="1" applyBorder="1" applyFill="1" applyFont="1">
      <alignment horizontal="center" vertical="center"/>
    </xf>
    <xf borderId="17" fillId="5" fontId="4" numFmtId="0" xfId="0" applyAlignment="1" applyBorder="1" applyFill="1" applyFont="1">
      <alignment horizontal="center" readingOrder="0" vertical="center"/>
    </xf>
    <xf borderId="18" fillId="5" fontId="4" numFmtId="0" xfId="0" applyAlignment="1" applyBorder="1" applyFill="1" applyFont="1">
      <alignment horizontal="center" readingOrder="0" vertical="center"/>
    </xf>
    <xf borderId="19" fillId="5" fontId="4" numFmtId="0" xfId="0" applyAlignment="1" applyBorder="1" applyFill="1" applyFont="1">
      <alignment horizontal="center" readingOrder="0" vertical="center"/>
    </xf>
    <xf borderId="20" fillId="0" fontId="19" numFmtId="0" xfId="0" applyAlignment="1" applyBorder="1" applyFont="1">
      <alignment horizontal="center" readingOrder="0" vertical="center"/>
    </xf>
    <xf borderId="21" fillId="0" fontId="10" numFmtId="0" xfId="0" applyAlignment="1" applyBorder="1" applyFont="1">
      <alignment readingOrder="0" vertical="center"/>
    </xf>
    <xf borderId="21" fillId="0" fontId="10" numFmtId="3" xfId="0" applyAlignment="1" applyBorder="1" applyFont="1" applyNumberFormat="1">
      <alignment horizontal="right" vertical="center"/>
    </xf>
    <xf borderId="21" fillId="0" fontId="10" numFmtId="165" xfId="0" applyAlignment="1" applyBorder="1" applyFont="1" applyNumberFormat="1">
      <alignment horizontal="right" vertical="center"/>
    </xf>
    <xf borderId="21" fillId="0" fontId="19" numFmtId="0" xfId="0" applyAlignment="1" applyBorder="1" applyFont="1">
      <alignment horizontal="center" vertical="center"/>
    </xf>
    <xf borderId="22" fillId="0" fontId="10" numFmtId="0" xfId="0" applyAlignment="1" applyBorder="1" applyFont="1">
      <alignment readingOrder="0" vertical="center"/>
    </xf>
    <xf borderId="23" fillId="7" fontId="20" numFmtId="0" xfId="0" applyAlignment="1" applyBorder="1" applyFill="1" applyFont="1">
      <alignment readingOrder="0" vertical="center"/>
    </xf>
    <xf borderId="24" fillId="7" fontId="20" numFmtId="0" xfId="0" applyAlignment="1" applyBorder="1" applyFill="1" applyFont="1">
      <alignment readingOrder="0" vertical="center"/>
    </xf>
    <xf borderId="24" fillId="7" fontId="20" numFmtId="3" xfId="0" applyAlignment="1" applyBorder="1" applyFill="1" applyFont="1" applyNumberFormat="1">
      <alignment horizontal="right" vertical="center"/>
    </xf>
    <xf borderId="24" fillId="7" fontId="20" numFmtId="165" xfId="0" applyAlignment="1" applyBorder="1" applyFill="1" applyFont="1" applyNumberFormat="1">
      <alignment horizontal="right" vertical="center"/>
    </xf>
    <xf borderId="24" fillId="7" fontId="20" numFmtId="0" xfId="0" applyAlignment="1" applyBorder="1" applyFill="1" applyFont="1">
      <alignment horizontal="center" vertical="center"/>
    </xf>
    <xf borderId="25" fillId="7" fontId="20" numFmtId="0" xfId="0" applyAlignment="1" applyBorder="1" applyFill="1" applyFont="1">
      <alignment readingOrder="0" vertical="center"/>
    </xf>
    <xf borderId="20" fillId="0" fontId="19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vertical="center"/>
    </xf>
    <xf borderId="21" fillId="0" fontId="10" numFmtId="164" xfId="0" applyAlignment="1" applyBorder="1" applyFont="1" applyNumberFormat="1">
      <alignment horizontal="center" vertical="center"/>
    </xf>
    <xf borderId="21" fillId="0" fontId="19" numFmtId="166" xfId="0" applyAlignment="1" applyBorder="1" applyFont="1" applyNumberFormat="1">
      <alignment horizontal="right" vertical="center"/>
    </xf>
    <xf borderId="22" fillId="0" fontId="10" numFmtId="0" xfId="0" applyAlignment="1" applyBorder="1" applyFont="1">
      <alignment vertical="center"/>
    </xf>
    <xf borderId="20" fillId="7" fontId="20" numFmtId="0" xfId="0" applyAlignment="1" applyBorder="1" applyFill="1" applyFont="1">
      <alignment readingOrder="0" vertical="center"/>
    </xf>
    <xf borderId="21" fillId="7" fontId="20" numFmtId="0" xfId="0" applyAlignment="1" applyBorder="1" applyFill="1" applyFont="1">
      <alignment readingOrder="0" vertical="center"/>
    </xf>
    <xf borderId="21" fillId="7" fontId="20" numFmtId="0" xfId="0" applyAlignment="1" applyBorder="1" applyFill="1" applyFont="1">
      <alignment vertical="center"/>
    </xf>
    <xf borderId="21" fillId="7" fontId="20" numFmtId="166" xfId="0" applyAlignment="1" applyBorder="1" applyFill="1" applyFont="1" applyNumberFormat="1">
      <alignment vertical="center"/>
    </xf>
    <xf borderId="22" fillId="7" fontId="20" numFmtId="0" xfId="0" applyAlignment="1" applyBorder="1" applyFill="1" applyFont="1">
      <alignment readingOrder="0" vertical="center"/>
    </xf>
    <xf borderId="26" fillId="12" fontId="21" numFmtId="0" xfId="0" applyAlignment="1" applyBorder="1" applyFill="1" applyFont="1">
      <alignment horizontal="left" readingOrder="0" vertical="center"/>
    </xf>
    <xf borderId="27" fillId="0" fontId="3" numFmtId="0" xfId="0" applyBorder="1" applyFont="1"/>
    <xf borderId="28" fillId="0" fontId="3" numFmtId="0" xfId="0" applyBorder="1" applyFont="1"/>
    <xf borderId="29" fillId="2" fontId="2" numFmtId="0" xfId="0" applyAlignment="1" applyBorder="1" applyFill="1" applyFont="1">
      <alignment horizontal="center" readingOrder="0" vertical="center"/>
    </xf>
    <xf borderId="30" fillId="0" fontId="3" numFmtId="0" xfId="0" applyBorder="1" applyFont="1"/>
    <xf borderId="31" fillId="0" fontId="3" numFmtId="0" xfId="0" applyBorder="1" applyFont="1"/>
    <xf borderId="32" fillId="2" fontId="2" numFmtId="0" xfId="0" applyAlignment="1" applyBorder="1" applyFill="1" applyFont="1">
      <alignment horizontal="center" readingOrder="0" vertical="center"/>
    </xf>
    <xf borderId="33" fillId="0" fontId="3" numFmtId="0" xfId="0" applyBorder="1" applyFont="1"/>
    <xf borderId="20" fillId="8" fontId="4" numFmtId="0" xfId="0" applyAlignment="1" applyBorder="1" applyFill="1" applyFont="1">
      <alignment horizontal="center" readingOrder="0" vertical="center"/>
    </xf>
    <xf borderId="21" fillId="8" fontId="4" numFmtId="0" xfId="0" applyAlignment="1" applyBorder="1" applyFill="1" applyFont="1">
      <alignment horizontal="center" readingOrder="0" vertical="center"/>
    </xf>
    <xf borderId="22" fillId="8" fontId="4" numFmtId="0" xfId="0" applyAlignment="1" applyBorder="1" applyFill="1" applyFont="1">
      <alignment horizontal="center" readingOrder="0" vertical="center"/>
    </xf>
    <xf borderId="20" fillId="0" fontId="10" numFmtId="0" xfId="0" applyAlignment="1" applyBorder="1" applyFont="1">
      <alignment horizontal="center" readingOrder="0" vertical="center"/>
    </xf>
    <xf borderId="21" fillId="0" fontId="10" numFmtId="0" xfId="0" applyAlignment="1" applyBorder="1" applyFont="1">
      <alignment horizontal="center" readingOrder="0" vertical="center"/>
    </xf>
    <xf borderId="21" fillId="0" fontId="19" numFmtId="0" xfId="0" applyAlignment="1" applyBorder="1" applyFont="1">
      <alignment horizontal="left" readingOrder="0" vertical="center"/>
    </xf>
    <xf borderId="21" fillId="7" fontId="20" numFmtId="3" xfId="0" applyAlignment="1" applyBorder="1" applyFill="1" applyFont="1" applyNumberFormat="1">
      <alignment horizontal="right" vertical="center"/>
    </xf>
    <xf borderId="21" fillId="7" fontId="20" numFmtId="165" xfId="0" applyAlignment="1" applyBorder="1" applyFill="1" applyFont="1" applyNumberFormat="1">
      <alignment horizontal="right" vertical="center"/>
    </xf>
    <xf borderId="34" fillId="5" fontId="2" numFmtId="0" xfId="0" applyAlignment="1" applyBorder="1" applyFill="1" applyFont="1">
      <alignment horizontal="left" readingOrder="0" vertical="center"/>
    </xf>
    <xf borderId="35" fillId="0" fontId="3" numFmtId="0" xfId="0" applyBorder="1" applyFont="1"/>
    <xf borderId="36" fillId="0" fontId="3" numFmtId="0" xfId="0" applyBorder="1" applyFont="1"/>
    <xf borderId="37" fillId="13" fontId="22" numFmtId="0" xfId="0" applyAlignment="1" applyBorder="1" applyFill="1" applyFont="1">
      <alignment horizontal="left" readingOrder="0" shrinkToFit="0" vertical="center" wrapText="1"/>
    </xf>
    <xf borderId="38" fillId="0" fontId="3" numFmtId="0" xfId="0" applyBorder="1" applyFont="1"/>
    <xf borderId="39" fillId="0" fontId="3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1E3989"/>
          <bgColor rgb="FF1E3989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137333"/>
      </font>
      <fill>
        <patternFill patternType="solid">
          <fgColor rgb="FFE6F4EA"/>
          <bgColor rgb="FFE6F4EA"/>
        </patternFill>
      </fill>
      <border/>
    </dxf>
    <dxf>
      <font>
        <b/>
        <color rgb="FFC5211F"/>
      </font>
      <fill>
        <patternFill patternType="solid">
          <fgColor rgb="FFFBE8E6"/>
          <bgColor rgb="FFFBE8E6"/>
        </patternFill>
      </fill>
      <border/>
    </dxf>
    <dxf>
      <font>
        <b/>
        <color rgb="FFAF5F00"/>
      </font>
      <fill>
        <patternFill patternType="solid">
          <fgColor rgb="FFFDF7DF"/>
          <bgColor rgb="FFFDF7DF"/>
        </patternFill>
      </fill>
      <border/>
    </dxf>
    <dxf>
      <font>
        <b/>
        <color rgb="FFA05C00"/>
      </font>
      <fill>
        <patternFill patternType="solid">
          <fgColor rgb="FFFFEFD3"/>
          <bgColor rgb="FFFFEFD3"/>
        </patternFill>
      </fill>
      <border/>
    </dxf>
  </dxfs>
  <tableStyles count="1">
    <tableStyle count="3" pivot="0" name="Read_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0" displayName="Table_1" name="Table_1" id="1">
  <tableColumns count="2">
    <tableColumn name="Section" id="1"/>
    <tableColumn name="Details" id="2"/>
  </tableColumns>
  <tableStyleInfo name="Read_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2.63"/>
    <col customWidth="1" min="3" max="3" width="12.0"/>
    <col customWidth="1" min="4" max="4" width="12.63"/>
    <col customWidth="1" min="5" max="5" width="13.25"/>
    <col customWidth="1" min="6" max="6" width="12.63"/>
    <col customWidth="1" min="7" max="7" width="12.5"/>
    <col customWidth="1" min="8" max="8" width="12.25"/>
    <col customWidth="1" min="9" max="9" width="12.13"/>
    <col customWidth="1" min="10" max="10" width="10.13"/>
    <col customWidth="1" min="11" max="14" width="12.5"/>
    <col customWidth="1" min="15" max="16" width="12.38"/>
    <col customWidth="1" min="17" max="17" width="12.0"/>
    <col customWidth="1" min="18" max="18" width="11.88"/>
    <col customWidth="1" min="19" max="19" width="13.5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11</v>
      </c>
      <c r="H1" s="2" t="s">
        <v>14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25</v>
      </c>
      <c r="R1" s="2" t="s">
        <v>26</v>
      </c>
      <c r="S1" s="2" t="s">
        <v>27</v>
      </c>
    </row>
    <row r="2">
      <c r="A2" s="8" t="s">
        <v>28</v>
      </c>
      <c r="B2" s="8" t="s">
        <v>31</v>
      </c>
      <c r="C2" s="8" t="s">
        <v>33</v>
      </c>
      <c r="D2" s="9" t="s">
        <v>34</v>
      </c>
      <c r="E2" s="9" t="s">
        <v>36</v>
      </c>
      <c r="F2" s="9" t="s">
        <v>38</v>
      </c>
      <c r="G2" s="8" t="b">
        <v>0</v>
      </c>
      <c r="H2" s="8" t="b">
        <v>1</v>
      </c>
      <c r="I2" s="16">
        <v>46319.0</v>
      </c>
      <c r="J2" s="16">
        <v>46349.0</v>
      </c>
      <c r="K2" s="18"/>
      <c r="L2" s="8" t="s">
        <v>44</v>
      </c>
      <c r="M2" s="8" t="s">
        <v>46</v>
      </c>
      <c r="N2" s="20"/>
      <c r="O2" s="8" t="s">
        <v>49</v>
      </c>
      <c r="P2" s="20"/>
      <c r="Q2" s="18"/>
      <c r="R2" s="16">
        <v>46319.0</v>
      </c>
      <c r="S2" s="9" t="s">
        <v>53</v>
      </c>
    </row>
    <row r="3">
      <c r="A3" s="15" t="s">
        <v>55</v>
      </c>
      <c r="B3" s="15" t="s">
        <v>58</v>
      </c>
      <c r="C3" s="15" t="s">
        <v>60</v>
      </c>
      <c r="D3" s="14" t="s">
        <v>62</v>
      </c>
      <c r="E3" s="14" t="s">
        <v>65</v>
      </c>
      <c r="F3" s="14" t="s">
        <v>38</v>
      </c>
      <c r="G3" s="15" t="b">
        <v>0</v>
      </c>
      <c r="H3" s="15" t="b">
        <v>1</v>
      </c>
      <c r="I3" s="25">
        <v>46313.0</v>
      </c>
      <c r="J3" s="25">
        <v>46320.0</v>
      </c>
      <c r="K3" s="26"/>
      <c r="L3" s="15" t="s">
        <v>44</v>
      </c>
      <c r="M3" s="15" t="s">
        <v>78</v>
      </c>
      <c r="N3" s="27"/>
      <c r="O3" s="15" t="s">
        <v>49</v>
      </c>
      <c r="P3" s="27"/>
      <c r="Q3" s="26"/>
      <c r="R3" s="25">
        <v>46319.0</v>
      </c>
      <c r="S3" s="14" t="s">
        <v>86</v>
      </c>
    </row>
    <row r="4">
      <c r="A4" s="8" t="s">
        <v>87</v>
      </c>
      <c r="B4" s="8" t="s">
        <v>89</v>
      </c>
      <c r="C4" s="8" t="s">
        <v>91</v>
      </c>
      <c r="D4" s="9" t="s">
        <v>92</v>
      </c>
      <c r="E4" s="9" t="s">
        <v>94</v>
      </c>
      <c r="F4" s="9" t="s">
        <v>38</v>
      </c>
      <c r="G4" s="8" t="b">
        <v>0</v>
      </c>
      <c r="H4" s="8" t="b">
        <v>1</v>
      </c>
      <c r="I4" s="16">
        <v>46305.0</v>
      </c>
      <c r="J4" s="16">
        <v>46319.0</v>
      </c>
      <c r="K4" s="18"/>
      <c r="L4" s="8" t="s">
        <v>44</v>
      </c>
      <c r="M4" s="8" t="s">
        <v>98</v>
      </c>
      <c r="N4" s="20"/>
      <c r="O4" s="8" t="s">
        <v>100</v>
      </c>
      <c r="P4" s="20"/>
      <c r="Q4" s="18"/>
      <c r="R4" s="16">
        <v>46320.0</v>
      </c>
      <c r="S4" s="9" t="s">
        <v>103</v>
      </c>
    </row>
    <row r="5">
      <c r="A5" s="15" t="s">
        <v>104</v>
      </c>
      <c r="B5" s="15" t="s">
        <v>105</v>
      </c>
      <c r="C5" s="15" t="s">
        <v>106</v>
      </c>
      <c r="D5" s="14" t="s">
        <v>108</v>
      </c>
      <c r="E5" s="14" t="s">
        <v>114</v>
      </c>
      <c r="F5" s="14" t="s">
        <v>38</v>
      </c>
      <c r="G5" s="15" t="b">
        <v>0</v>
      </c>
      <c r="H5" s="15" t="b">
        <v>1</v>
      </c>
      <c r="I5" s="25">
        <v>46313.0</v>
      </c>
      <c r="J5" s="25">
        <v>46323.0</v>
      </c>
      <c r="K5" s="25">
        <v>46318.0</v>
      </c>
      <c r="L5" s="15" t="s">
        <v>119</v>
      </c>
      <c r="M5" s="15" t="s">
        <v>120</v>
      </c>
      <c r="N5" s="15" t="s">
        <v>122</v>
      </c>
      <c r="O5" s="15" t="s">
        <v>49</v>
      </c>
      <c r="P5" s="27"/>
      <c r="Q5" s="26"/>
      <c r="R5" s="25">
        <v>46318.0</v>
      </c>
      <c r="S5" s="14" t="s">
        <v>126</v>
      </c>
    </row>
    <row r="6">
      <c r="A6" s="8" t="s">
        <v>128</v>
      </c>
      <c r="B6" s="8" t="s">
        <v>129</v>
      </c>
      <c r="C6" s="8" t="s">
        <v>130</v>
      </c>
      <c r="D6" s="9" t="s">
        <v>132</v>
      </c>
      <c r="E6" s="9" t="s">
        <v>134</v>
      </c>
      <c r="F6" s="9" t="s">
        <v>38</v>
      </c>
      <c r="G6" s="8" t="b">
        <v>0</v>
      </c>
      <c r="H6" s="8" t="b">
        <v>1</v>
      </c>
      <c r="I6" s="16">
        <v>46310.0</v>
      </c>
      <c r="J6" s="16">
        <v>46320.0</v>
      </c>
      <c r="K6" s="16">
        <v>46315.0</v>
      </c>
      <c r="L6" s="8" t="s">
        <v>138</v>
      </c>
      <c r="M6" s="8" t="s">
        <v>140</v>
      </c>
      <c r="N6" s="8" t="s">
        <v>141</v>
      </c>
      <c r="O6" s="8" t="s">
        <v>49</v>
      </c>
      <c r="P6" s="20"/>
      <c r="Q6" s="18"/>
      <c r="R6" s="16">
        <v>46316.0</v>
      </c>
      <c r="S6" s="9" t="s">
        <v>145</v>
      </c>
    </row>
    <row r="7">
      <c r="A7" s="15" t="s">
        <v>147</v>
      </c>
      <c r="B7" s="15" t="s">
        <v>148</v>
      </c>
      <c r="C7" s="15" t="s">
        <v>151</v>
      </c>
      <c r="D7" s="14" t="s">
        <v>153</v>
      </c>
      <c r="E7" s="14" t="s">
        <v>154</v>
      </c>
      <c r="F7" s="14" t="s">
        <v>38</v>
      </c>
      <c r="G7" s="15" t="b">
        <v>0</v>
      </c>
      <c r="H7" s="15" t="b">
        <v>1</v>
      </c>
      <c r="I7" s="25">
        <v>46311.0</v>
      </c>
      <c r="J7" s="25">
        <v>46321.0</v>
      </c>
      <c r="K7" s="25">
        <v>46317.0</v>
      </c>
      <c r="L7" s="15" t="s">
        <v>44</v>
      </c>
      <c r="M7" s="15" t="s">
        <v>156</v>
      </c>
      <c r="N7" s="15" t="s">
        <v>157</v>
      </c>
      <c r="O7" s="15" t="s">
        <v>158</v>
      </c>
      <c r="P7" s="15" t="s">
        <v>138</v>
      </c>
      <c r="Q7" s="25">
        <v>46319.0</v>
      </c>
      <c r="R7" s="25">
        <v>46319.0</v>
      </c>
      <c r="S7" s="14" t="s">
        <v>160</v>
      </c>
    </row>
    <row r="8">
      <c r="A8" s="8" t="s">
        <v>161</v>
      </c>
      <c r="B8" s="8" t="s">
        <v>162</v>
      </c>
      <c r="C8" s="8" t="s">
        <v>163</v>
      </c>
      <c r="D8" s="9" t="s">
        <v>164</v>
      </c>
      <c r="E8" s="9" t="s">
        <v>166</v>
      </c>
      <c r="F8" s="9" t="s">
        <v>38</v>
      </c>
      <c r="G8" s="8" t="b">
        <v>0</v>
      </c>
      <c r="H8" s="8" t="b">
        <v>1</v>
      </c>
      <c r="I8" s="16">
        <v>46296.0</v>
      </c>
      <c r="J8" s="16">
        <v>46310.0</v>
      </c>
      <c r="K8" s="16">
        <v>46305.0</v>
      </c>
      <c r="L8" s="8" t="s">
        <v>170</v>
      </c>
      <c r="M8" s="8" t="s">
        <v>171</v>
      </c>
      <c r="N8" s="8" t="s">
        <v>172</v>
      </c>
      <c r="O8" s="8" t="s">
        <v>142</v>
      </c>
      <c r="P8" s="8" t="s">
        <v>138</v>
      </c>
      <c r="Q8" s="16">
        <v>46317.0</v>
      </c>
      <c r="R8" s="16">
        <v>46317.0</v>
      </c>
      <c r="S8" s="9" t="s">
        <v>173</v>
      </c>
    </row>
    <row r="9">
      <c r="A9" s="15" t="s">
        <v>174</v>
      </c>
      <c r="B9" s="15" t="s">
        <v>175</v>
      </c>
      <c r="C9" s="15" t="s">
        <v>176</v>
      </c>
      <c r="D9" s="14" t="s">
        <v>177</v>
      </c>
      <c r="E9" s="14" t="s">
        <v>178</v>
      </c>
      <c r="F9" s="14" t="s">
        <v>38</v>
      </c>
      <c r="G9" s="15" t="b">
        <v>0</v>
      </c>
      <c r="H9" s="15" t="b">
        <v>1</v>
      </c>
      <c r="I9" s="25">
        <v>46273.0</v>
      </c>
      <c r="J9" s="25">
        <v>46295.0</v>
      </c>
      <c r="K9" s="25">
        <v>46290.0</v>
      </c>
      <c r="L9" s="15" t="s">
        <v>179</v>
      </c>
      <c r="M9" s="15" t="s">
        <v>171</v>
      </c>
      <c r="N9" s="15" t="s">
        <v>180</v>
      </c>
      <c r="O9" s="15" t="s">
        <v>142</v>
      </c>
      <c r="P9" s="15" t="s">
        <v>179</v>
      </c>
      <c r="Q9" s="25">
        <v>46316.0</v>
      </c>
      <c r="R9" s="25">
        <v>46316.0</v>
      </c>
      <c r="S9" s="14" t="s">
        <v>181</v>
      </c>
    </row>
    <row r="10">
      <c r="A10" s="8" t="s">
        <v>182</v>
      </c>
      <c r="B10" s="8" t="s">
        <v>183</v>
      </c>
      <c r="C10" s="8" t="s">
        <v>184</v>
      </c>
      <c r="D10" s="9" t="s">
        <v>185</v>
      </c>
      <c r="E10" s="9" t="s">
        <v>186</v>
      </c>
      <c r="F10" s="9" t="s">
        <v>38</v>
      </c>
      <c r="G10" s="8" t="b">
        <v>0</v>
      </c>
      <c r="H10" s="8" t="b">
        <v>1</v>
      </c>
      <c r="I10" s="16">
        <v>46249.0</v>
      </c>
      <c r="J10" s="16">
        <v>46280.0</v>
      </c>
      <c r="K10" s="16">
        <v>46275.0</v>
      </c>
      <c r="L10" s="8" t="s">
        <v>187</v>
      </c>
      <c r="M10" s="8" t="s">
        <v>188</v>
      </c>
      <c r="N10" s="8" t="s">
        <v>189</v>
      </c>
      <c r="O10" s="8" t="s">
        <v>142</v>
      </c>
      <c r="P10" s="8" t="s">
        <v>187</v>
      </c>
      <c r="Q10" s="16">
        <v>46295.0</v>
      </c>
      <c r="R10" s="16">
        <v>46295.0</v>
      </c>
      <c r="S10" s="9" t="s">
        <v>190</v>
      </c>
    </row>
    <row r="11">
      <c r="A11" s="15" t="s">
        <v>191</v>
      </c>
      <c r="B11" s="15" t="s">
        <v>192</v>
      </c>
      <c r="C11" s="15" t="s">
        <v>193</v>
      </c>
      <c r="D11" s="14" t="s">
        <v>194</v>
      </c>
      <c r="E11" s="14" t="s">
        <v>195</v>
      </c>
      <c r="F11" s="14" t="s">
        <v>38</v>
      </c>
      <c r="G11" s="15" t="b">
        <v>0</v>
      </c>
      <c r="H11" s="15" t="b">
        <v>1</v>
      </c>
      <c r="I11" s="25">
        <v>46309.0</v>
      </c>
      <c r="J11" s="25">
        <v>46322.0</v>
      </c>
      <c r="K11" s="25">
        <v>46319.0</v>
      </c>
      <c r="L11" s="15" t="s">
        <v>196</v>
      </c>
      <c r="M11" s="15" t="s">
        <v>140</v>
      </c>
      <c r="N11" s="15" t="s">
        <v>197</v>
      </c>
      <c r="O11" s="15" t="s">
        <v>49</v>
      </c>
      <c r="P11" s="27"/>
      <c r="Q11" s="26"/>
      <c r="R11" s="25">
        <v>46319.0</v>
      </c>
      <c r="S11" s="14" t="s">
        <v>198</v>
      </c>
    </row>
  </sheetData>
  <autoFilter ref="$A$1:$S$1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3.38"/>
    <col customWidth="1" min="3" max="3" width="12.38"/>
    <col customWidth="1" min="4" max="4" width="12.63"/>
    <col customWidth="1" min="5" max="6" width="13.0"/>
  </cols>
  <sheetData>
    <row r="1">
      <c r="A1" s="2" t="s">
        <v>2</v>
      </c>
      <c r="B1" s="2" t="s">
        <v>6</v>
      </c>
      <c r="C1" s="2" t="s">
        <v>9</v>
      </c>
      <c r="D1" s="2" t="s">
        <v>10</v>
      </c>
      <c r="E1" s="2" t="s">
        <v>13</v>
      </c>
      <c r="F1" s="2" t="s">
        <v>15</v>
      </c>
    </row>
    <row r="2">
      <c r="A2" s="7" t="s">
        <v>1</v>
      </c>
      <c r="B2" s="9" t="s">
        <v>30</v>
      </c>
      <c r="C2" s="8" t="s">
        <v>32</v>
      </c>
      <c r="D2" s="9" t="s">
        <v>28</v>
      </c>
      <c r="E2" s="9" t="s">
        <v>35</v>
      </c>
      <c r="F2" s="9" t="s">
        <v>37</v>
      </c>
    </row>
    <row r="3">
      <c r="A3" s="13" t="s">
        <v>3</v>
      </c>
      <c r="B3" s="14" t="s">
        <v>39</v>
      </c>
      <c r="C3" s="15" t="s">
        <v>32</v>
      </c>
      <c r="D3" s="14" t="s">
        <v>31</v>
      </c>
      <c r="E3" s="14" t="s">
        <v>41</v>
      </c>
      <c r="F3" s="14" t="s">
        <v>42</v>
      </c>
    </row>
    <row r="4">
      <c r="A4" s="7" t="s">
        <v>4</v>
      </c>
      <c r="B4" s="9" t="s">
        <v>45</v>
      </c>
      <c r="C4" s="8" t="s">
        <v>32</v>
      </c>
      <c r="D4" s="9" t="s">
        <v>33</v>
      </c>
      <c r="E4" s="9" t="s">
        <v>51</v>
      </c>
      <c r="F4" s="9" t="s">
        <v>52</v>
      </c>
    </row>
    <row r="5">
      <c r="A5" s="13" t="s">
        <v>5</v>
      </c>
      <c r="B5" s="14" t="s">
        <v>56</v>
      </c>
      <c r="C5" s="15" t="s">
        <v>32</v>
      </c>
      <c r="D5" s="14" t="s">
        <v>34</v>
      </c>
      <c r="E5" s="14" t="s">
        <v>63</v>
      </c>
      <c r="F5" s="14" t="s">
        <v>66</v>
      </c>
    </row>
    <row r="6">
      <c r="A6" s="7" t="s">
        <v>7</v>
      </c>
      <c r="B6" s="9" t="s">
        <v>69</v>
      </c>
      <c r="C6" s="8" t="s">
        <v>71</v>
      </c>
      <c r="D6" s="9" t="s">
        <v>36</v>
      </c>
      <c r="E6" s="9" t="s">
        <v>74</v>
      </c>
      <c r="F6" s="9" t="s">
        <v>76</v>
      </c>
    </row>
    <row r="7">
      <c r="A7" s="13" t="s">
        <v>8</v>
      </c>
      <c r="B7" s="14" t="s">
        <v>80</v>
      </c>
      <c r="C7" s="15" t="s">
        <v>32</v>
      </c>
      <c r="D7" s="14" t="s">
        <v>38</v>
      </c>
      <c r="E7" s="14" t="s">
        <v>84</v>
      </c>
      <c r="F7" s="14" t="s">
        <v>85</v>
      </c>
    </row>
    <row r="8">
      <c r="A8" s="7" t="s">
        <v>11</v>
      </c>
      <c r="B8" s="9" t="s">
        <v>88</v>
      </c>
      <c r="C8" s="8" t="s">
        <v>90</v>
      </c>
      <c r="D8" s="9" t="b">
        <v>0</v>
      </c>
      <c r="E8" s="9" t="s">
        <v>93</v>
      </c>
      <c r="F8" s="9" t="s">
        <v>95</v>
      </c>
    </row>
    <row r="9">
      <c r="A9" s="13" t="s">
        <v>14</v>
      </c>
      <c r="B9" s="14" t="s">
        <v>97</v>
      </c>
      <c r="C9" s="15" t="s">
        <v>90</v>
      </c>
      <c r="D9" s="14" t="b">
        <v>1</v>
      </c>
      <c r="E9" s="14" t="s">
        <v>93</v>
      </c>
      <c r="F9" s="14" t="s">
        <v>99</v>
      </c>
    </row>
    <row r="10">
      <c r="A10" s="7" t="s">
        <v>16</v>
      </c>
      <c r="B10" s="9" t="s">
        <v>101</v>
      </c>
      <c r="C10" s="8" t="s">
        <v>102</v>
      </c>
      <c r="D10" s="29">
        <v>46319.0</v>
      </c>
      <c r="E10" s="9" t="s">
        <v>107</v>
      </c>
      <c r="F10" s="9" t="s">
        <v>109</v>
      </c>
    </row>
    <row r="11">
      <c r="A11" s="13" t="s">
        <v>17</v>
      </c>
      <c r="B11" s="14" t="s">
        <v>110</v>
      </c>
      <c r="C11" s="15" t="s">
        <v>102</v>
      </c>
      <c r="D11" s="31">
        <v>46349.0</v>
      </c>
      <c r="E11" s="14" t="s">
        <v>107</v>
      </c>
      <c r="F11" s="14" t="s">
        <v>112</v>
      </c>
    </row>
    <row r="12">
      <c r="A12" s="7" t="s">
        <v>18</v>
      </c>
      <c r="B12" s="9" t="s">
        <v>115</v>
      </c>
      <c r="C12" s="8" t="s">
        <v>102</v>
      </c>
      <c r="D12" s="29">
        <v>46318.0</v>
      </c>
      <c r="E12" s="9" t="s">
        <v>116</v>
      </c>
      <c r="F12" s="9" t="s">
        <v>118</v>
      </c>
    </row>
    <row r="13">
      <c r="A13" s="13" t="s">
        <v>19</v>
      </c>
      <c r="B13" s="14" t="s">
        <v>121</v>
      </c>
      <c r="C13" s="15" t="s">
        <v>32</v>
      </c>
      <c r="D13" s="14" t="s">
        <v>44</v>
      </c>
      <c r="E13" s="14" t="s">
        <v>124</v>
      </c>
      <c r="F13" s="14" t="s">
        <v>125</v>
      </c>
    </row>
    <row r="14">
      <c r="A14" s="7" t="s">
        <v>20</v>
      </c>
      <c r="B14" s="9" t="s">
        <v>127</v>
      </c>
      <c r="C14" s="8" t="s">
        <v>32</v>
      </c>
      <c r="D14" s="9" t="s">
        <v>46</v>
      </c>
      <c r="E14" s="9" t="s">
        <v>131</v>
      </c>
      <c r="F14" s="9" t="s">
        <v>133</v>
      </c>
    </row>
    <row r="15">
      <c r="A15" s="13" t="s">
        <v>21</v>
      </c>
      <c r="B15" s="14" t="s">
        <v>135</v>
      </c>
      <c r="C15" s="15" t="s">
        <v>32</v>
      </c>
      <c r="D15" s="14" t="s">
        <v>122</v>
      </c>
      <c r="E15" s="14" t="s">
        <v>136</v>
      </c>
      <c r="F15" s="14" t="s">
        <v>137</v>
      </c>
    </row>
    <row r="16">
      <c r="A16" s="7" t="s">
        <v>22</v>
      </c>
      <c r="B16" s="9" t="s">
        <v>139</v>
      </c>
      <c r="C16" s="8" t="s">
        <v>32</v>
      </c>
      <c r="D16" s="9" t="s">
        <v>142</v>
      </c>
      <c r="E16" s="9" t="s">
        <v>143</v>
      </c>
      <c r="F16" s="9" t="s">
        <v>144</v>
      </c>
    </row>
    <row r="17">
      <c r="A17" s="13" t="s">
        <v>23</v>
      </c>
      <c r="B17" s="14" t="s">
        <v>146</v>
      </c>
      <c r="C17" s="15" t="s">
        <v>32</v>
      </c>
      <c r="D17" s="14" t="s">
        <v>138</v>
      </c>
      <c r="E17" s="14" t="s">
        <v>149</v>
      </c>
      <c r="F17" s="14" t="s">
        <v>150</v>
      </c>
    </row>
    <row r="18">
      <c r="A18" s="7" t="s">
        <v>25</v>
      </c>
      <c r="B18" s="9" t="s">
        <v>152</v>
      </c>
      <c r="C18" s="8" t="s">
        <v>102</v>
      </c>
      <c r="D18" s="29">
        <v>46317.0</v>
      </c>
      <c r="E18" s="9" t="s">
        <v>116</v>
      </c>
      <c r="F18" s="9" t="s">
        <v>155</v>
      </c>
    </row>
    <row r="19">
      <c r="A19" s="13" t="s">
        <v>26</v>
      </c>
      <c r="B19" s="14" t="s">
        <v>159</v>
      </c>
      <c r="C19" s="15" t="s">
        <v>102</v>
      </c>
      <c r="D19" s="31">
        <v>46319.0</v>
      </c>
      <c r="E19" s="14" t="s">
        <v>107</v>
      </c>
      <c r="F19" s="14" t="s">
        <v>112</v>
      </c>
    </row>
    <row r="20">
      <c r="A20" s="7" t="s">
        <v>27</v>
      </c>
      <c r="B20" s="9" t="s">
        <v>165</v>
      </c>
      <c r="C20" s="8" t="s">
        <v>71</v>
      </c>
      <c r="D20" s="9" t="s">
        <v>167</v>
      </c>
      <c r="E20" s="9" t="s">
        <v>168</v>
      </c>
      <c r="F20" s="9" t="s">
        <v>169</v>
      </c>
    </row>
  </sheetData>
  <autoFilter ref="$A$1:$F$2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94.0"/>
  </cols>
  <sheetData>
    <row r="1">
      <c r="A1" s="17" t="s">
        <v>40</v>
      </c>
      <c r="B1" s="17" t="s">
        <v>43</v>
      </c>
    </row>
    <row r="2">
      <c r="A2" s="21" t="s">
        <v>47</v>
      </c>
      <c r="B2" s="22" t="s">
        <v>50</v>
      </c>
    </row>
    <row r="3">
      <c r="A3" s="21" t="s">
        <v>54</v>
      </c>
      <c r="B3" s="22" t="s">
        <v>57</v>
      </c>
    </row>
    <row r="4">
      <c r="A4" s="21" t="s">
        <v>59</v>
      </c>
      <c r="B4" s="22" t="s">
        <v>61</v>
      </c>
    </row>
    <row r="5">
      <c r="A5" s="21" t="s">
        <v>64</v>
      </c>
      <c r="B5" s="22" t="s">
        <v>67</v>
      </c>
    </row>
    <row r="6">
      <c r="A6" s="21" t="s">
        <v>68</v>
      </c>
      <c r="B6" s="22" t="s">
        <v>70</v>
      </c>
    </row>
    <row r="7">
      <c r="A7" s="21" t="s">
        <v>72</v>
      </c>
      <c r="B7" s="22" t="s">
        <v>73</v>
      </c>
    </row>
    <row r="8">
      <c r="A8" s="21" t="s">
        <v>75</v>
      </c>
      <c r="B8" s="22" t="s">
        <v>77</v>
      </c>
    </row>
    <row r="9">
      <c r="A9" s="21" t="s">
        <v>79</v>
      </c>
      <c r="B9" s="22" t="s">
        <v>81</v>
      </c>
    </row>
    <row r="10">
      <c r="A10" s="21" t="s">
        <v>82</v>
      </c>
      <c r="B10" s="22" t="s">
        <v>83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13"/>
    <col customWidth="1" min="2" max="2" width="205.63"/>
    <col customWidth="1" min="3" max="3" width="21.63"/>
    <col customWidth="1" min="4" max="4" width="53.63"/>
    <col customWidth="1" min="5" max="5" width="15.5"/>
    <col customWidth="1" min="6" max="6" width="26.0"/>
    <col customWidth="1" min="7" max="7" width="41.75"/>
    <col customWidth="1" min="8" max="8" width="19.38"/>
    <col customWidth="1" min="9" max="9" width="20.63"/>
    <col customWidth="1" min="10" max="10" width="16.75"/>
    <col customWidth="1" min="11" max="11" width="71.5"/>
  </cols>
  <sheetData>
    <row r="2" ht="24.0" customHeight="1">
      <c r="B2" s="1" t="s">
        <v>0</v>
      </c>
      <c r="C2" s="3"/>
      <c r="D2" s="3"/>
      <c r="E2" s="3"/>
      <c r="F2" s="3"/>
      <c r="G2" s="3"/>
      <c r="H2" s="4"/>
      <c r="I2" s="5" t="s">
        <v>12</v>
      </c>
      <c r="J2" s="4"/>
      <c r="K2" s="6" t="s">
        <v>24</v>
      </c>
    </row>
    <row r="3" ht="18.0" customHeight="1">
      <c r="B3" s="10" t="s">
        <v>29</v>
      </c>
      <c r="C3" s="11"/>
      <c r="D3" s="11"/>
      <c r="E3" s="11"/>
      <c r="F3" s="11"/>
      <c r="G3" s="11"/>
      <c r="H3" s="12"/>
      <c r="I3" s="19">
        <v>46320.0</v>
      </c>
      <c r="J3" s="12"/>
      <c r="K3" s="23" t="s">
        <v>48</v>
      </c>
    </row>
    <row r="4">
      <c r="B4" s="24"/>
      <c r="C4" s="24"/>
      <c r="D4" s="24"/>
      <c r="E4" s="24"/>
      <c r="F4" s="24"/>
      <c r="G4" s="24"/>
      <c r="H4" s="24"/>
      <c r="I4" s="24"/>
      <c r="J4" s="24"/>
      <c r="K4" s="24"/>
    </row>
    <row r="5" ht="16.5" customHeight="1">
      <c r="B5" s="28" t="s">
        <v>96</v>
      </c>
      <c r="C5" s="30"/>
      <c r="D5" s="28" t="s">
        <v>111</v>
      </c>
      <c r="E5" s="30"/>
      <c r="F5" s="28" t="s">
        <v>113</v>
      </c>
      <c r="G5" s="30"/>
      <c r="H5" s="28" t="s">
        <v>117</v>
      </c>
      <c r="I5" s="30"/>
      <c r="J5" s="28" t="s">
        <v>123</v>
      </c>
      <c r="K5" s="30"/>
    </row>
    <row r="6" ht="27.0" customHeight="1">
      <c r="B6" s="32">
        <f>COUNTA(Undertakings!A2:A11)</f>
        <v>10</v>
      </c>
      <c r="C6" s="33"/>
      <c r="D6" s="34">
        <f>COUNTIF(Undertakings!M2:M11,"OVERDUE")+COUNTIF(Undertakings!M2:M11,"DUE_SOON")</f>
        <v>2</v>
      </c>
      <c r="E6" s="33"/>
      <c r="F6" s="35">
        <f>COUNTIF(Undertakings!M2:M11,"AWAITING_VERIFICATION")+COUNTIF(Undertakings!M2:M11,"SUBMITTED")+COUNTIF(Undertakings!M2:M11,"CORRECTION_REQUESTED")</f>
        <v>4</v>
      </c>
      <c r="G6" s="33"/>
      <c r="H6" s="36">
        <f>COUNTIF(Undertakings!O2:O11,"APPROVED")</f>
        <v>3</v>
      </c>
      <c r="I6" s="33"/>
      <c r="J6" s="37">
        <f>COUNTIF(J10:J16,"PASS")/COUNTA(B10:B16)</f>
        <v>0.8571428571</v>
      </c>
      <c r="K6" s="33"/>
    </row>
    <row r="7" ht="15.0" customHeight="1">
      <c r="B7" s="38" t="s">
        <v>199</v>
      </c>
      <c r="C7" s="39"/>
      <c r="D7" s="40" t="str">
        <f>COUNTIF(Undertakings!M2:M11,"OVERDUE")&amp;" Critical | "&amp;COUNTIF(Undertakings!M2:M11,"DUE_SOON")&amp;" Due Soon"</f>
        <v>1 Critical | 1 Due Soon</v>
      </c>
      <c r="E7" s="39"/>
      <c r="F7" s="41" t="s">
        <v>200</v>
      </c>
      <c r="G7" s="39"/>
      <c r="H7" s="42" t="str">
        <f>TEXT(COUNTIF(Undertakings!O2:O11,"APPROVED")/COUNTA(Undertakings!A2:A11),"0.0%")&amp;" Clearance Rate"</f>
        <v>30.0% Clearance Rate</v>
      </c>
      <c r="I7" s="39"/>
      <c r="J7" s="42" t="str">
        <f>COUNTIF(J10:J16,"PASS")&amp;" of "&amp;COUNTA(B10:B16)&amp;" Rules Passed"</f>
        <v>6 of 7 Rules Passed</v>
      </c>
      <c r="K7" s="39"/>
    </row>
    <row r="8">
      <c r="B8" s="24"/>
      <c r="C8" s="24"/>
      <c r="D8" s="24"/>
      <c r="E8" s="24"/>
      <c r="F8" s="24"/>
      <c r="G8" s="24"/>
      <c r="H8" s="24"/>
      <c r="I8" s="24"/>
      <c r="J8" s="24"/>
      <c r="K8" s="24"/>
    </row>
    <row r="9" ht="19.5" customHeight="1">
      <c r="B9" s="43" t="s">
        <v>201</v>
      </c>
      <c r="C9" s="44" t="s">
        <v>202</v>
      </c>
      <c r="D9" s="44" t="s">
        <v>203</v>
      </c>
      <c r="E9" s="44" t="s">
        <v>204</v>
      </c>
      <c r="F9" s="44" t="s">
        <v>205</v>
      </c>
      <c r="G9" s="44" t="s">
        <v>206</v>
      </c>
      <c r="H9" s="44" t="s">
        <v>207</v>
      </c>
      <c r="I9" s="44" t="s">
        <v>208</v>
      </c>
      <c r="J9" s="44" t="s">
        <v>209</v>
      </c>
      <c r="K9" s="45" t="s">
        <v>210</v>
      </c>
    </row>
    <row r="10">
      <c r="B10" s="46" t="s">
        <v>211</v>
      </c>
      <c r="C10" s="47" t="s">
        <v>1</v>
      </c>
      <c r="D10" s="47" t="s">
        <v>212</v>
      </c>
      <c r="E10" s="47" t="s">
        <v>213</v>
      </c>
      <c r="F10" s="48">
        <f>COUNTA(Undertakings!A2:A11)</f>
        <v>10</v>
      </c>
      <c r="G10" s="48">
        <f>IFERROR(__xludf.DUMMYFUNCTION("COUNTUNIQUE(Undertakings!A2:A11)"),10.0)</f>
        <v>10</v>
      </c>
      <c r="H10" s="48">
        <f t="shared" ref="H10:H16" si="1">F10-G10</f>
        <v>0</v>
      </c>
      <c r="I10" s="49">
        <f t="shared" ref="I10:I17" si="2">G10/F10</f>
        <v>1</v>
      </c>
      <c r="J10" s="50" t="str">
        <f>IF(H10=0,"PASS","FAIL")</f>
        <v>PASS</v>
      </c>
      <c r="K10" s="51" t="s">
        <v>214</v>
      </c>
    </row>
    <row r="11">
      <c r="B11" s="46" t="s">
        <v>215</v>
      </c>
      <c r="C11" s="47" t="s">
        <v>216</v>
      </c>
      <c r="D11" s="47" t="s">
        <v>217</v>
      </c>
      <c r="E11" s="47" t="s">
        <v>218</v>
      </c>
      <c r="F11" s="48">
        <f>COUNTA(Undertakings!A2:A11)</f>
        <v>10</v>
      </c>
      <c r="G11" s="48">
        <f>COUNTIFS(Undertakings!B2:B11,"APP0*",Undertakings!C2:C11,"INST0*")</f>
        <v>8</v>
      </c>
      <c r="H11" s="48">
        <f t="shared" si="1"/>
        <v>2</v>
      </c>
      <c r="I11" s="49">
        <f t="shared" si="2"/>
        <v>0.8</v>
      </c>
      <c r="J11" s="50" t="str">
        <f>IF(H11=0,"PASS","FLAGGED")</f>
        <v>FLAGGED</v>
      </c>
      <c r="K11" s="51" t="s">
        <v>219</v>
      </c>
    </row>
    <row r="12">
      <c r="B12" s="46" t="s">
        <v>220</v>
      </c>
      <c r="C12" s="47" t="s">
        <v>221</v>
      </c>
      <c r="D12" s="47" t="s">
        <v>222</v>
      </c>
      <c r="E12" s="47" t="s">
        <v>223</v>
      </c>
      <c r="F12" s="48">
        <f>COUNTA(Undertakings!A2:A11)</f>
        <v>10</v>
      </c>
      <c r="G12" s="48">
        <f>SUMPRODUCT(--(Undertakings!J2:J11&gt;=Undertakings!I2:I11))</f>
        <v>10</v>
      </c>
      <c r="H12" s="48">
        <f t="shared" si="1"/>
        <v>0</v>
      </c>
      <c r="I12" s="49">
        <f t="shared" si="2"/>
        <v>1</v>
      </c>
      <c r="J12" s="50" t="str">
        <f t="shared" ref="J12:J16" si="3">IF(H12=0,"PASS","FAIL")</f>
        <v>PASS</v>
      </c>
      <c r="K12" s="51" t="s">
        <v>224</v>
      </c>
    </row>
    <row r="13">
      <c r="B13" s="46" t="s">
        <v>225</v>
      </c>
      <c r="C13" s="47" t="s">
        <v>21</v>
      </c>
      <c r="D13" s="47" t="s">
        <v>226</v>
      </c>
      <c r="E13" s="47" t="s">
        <v>227</v>
      </c>
      <c r="F13" s="48">
        <f>COUNTIF(Undertakings!K2:K11,"&lt;&gt;")</f>
        <v>7</v>
      </c>
      <c r="G13" s="48">
        <f>COUNTIFS(Undertakings!K2:K11,"&lt;&gt;",Undertakings!N2:N11,"DOC-*")</f>
        <v>7</v>
      </c>
      <c r="H13" s="48">
        <f t="shared" si="1"/>
        <v>0</v>
      </c>
      <c r="I13" s="49">
        <f t="shared" si="2"/>
        <v>1</v>
      </c>
      <c r="J13" s="50" t="str">
        <f t="shared" si="3"/>
        <v>PASS</v>
      </c>
      <c r="K13" s="51" t="s">
        <v>228</v>
      </c>
    </row>
    <row r="14">
      <c r="B14" s="46" t="s">
        <v>229</v>
      </c>
      <c r="C14" s="47" t="s">
        <v>230</v>
      </c>
      <c r="D14" s="47" t="s">
        <v>231</v>
      </c>
      <c r="E14" s="47" t="s">
        <v>232</v>
      </c>
      <c r="F14" s="48">
        <f>COUNTIF(Undertakings!O2:O11,"APPROVED")+COUNTIF(Undertakings!O2:O11,"REVISION_REQUIRED")</f>
        <v>4</v>
      </c>
      <c r="G14" s="48">
        <f>COUNTIFS(Undertakings!O2:O11,"&lt;&gt;PENDING",Undertakings!P2:P11,"ROLE_*",Undertakings!Q2:Q11,"&lt;&gt;")</f>
        <v>4</v>
      </c>
      <c r="H14" s="48">
        <f t="shared" si="1"/>
        <v>0</v>
      </c>
      <c r="I14" s="49">
        <f t="shared" si="2"/>
        <v>1</v>
      </c>
      <c r="J14" s="50" t="str">
        <f t="shared" si="3"/>
        <v>PASS</v>
      </c>
      <c r="K14" s="51" t="s">
        <v>233</v>
      </c>
    </row>
    <row r="15">
      <c r="B15" s="46" t="s">
        <v>234</v>
      </c>
      <c r="C15" s="47" t="s">
        <v>20</v>
      </c>
      <c r="D15" s="47" t="s">
        <v>235</v>
      </c>
      <c r="E15" s="47" t="s">
        <v>236</v>
      </c>
      <c r="F15" s="48">
        <f>COUNTA(Undertakings!A2:A11)</f>
        <v>10</v>
      </c>
      <c r="G15" s="48">
        <f t="array" ref="G15">SUMPRODUCT(--ISNUMBER(MATCH(Undertakings!M2:M11,{"AWAITING_SUBMISSION","DUE_SOON","OVERDUE","SUBMITTED","AWAITING_VERIFICATION","CORRECTION_REQUESTED","VERIFIED","COMPLETED"},0)))</f>
        <v>10</v>
      </c>
      <c r="H15" s="48">
        <f t="shared" si="1"/>
        <v>0</v>
      </c>
      <c r="I15" s="49">
        <f t="shared" si="2"/>
        <v>1</v>
      </c>
      <c r="J15" s="50" t="str">
        <f t="shared" si="3"/>
        <v>PASS</v>
      </c>
      <c r="K15" s="51" t="s">
        <v>237</v>
      </c>
    </row>
    <row r="16">
      <c r="B16" s="46" t="s">
        <v>238</v>
      </c>
      <c r="C16" s="47" t="s">
        <v>239</v>
      </c>
      <c r="D16" s="47" t="s">
        <v>240</v>
      </c>
      <c r="E16" s="47" t="s">
        <v>241</v>
      </c>
      <c r="F16" s="48">
        <f>COUNTA(Undertakings!A2:A11)</f>
        <v>10</v>
      </c>
      <c r="G16" s="48">
        <f>COUNTIFS(Undertakings!G2:G11,FALSE,Undertakings!H2:H11,TRUE,Undertakings!F2:F11,"*DEMO*")</f>
        <v>10</v>
      </c>
      <c r="H16" s="48">
        <f t="shared" si="1"/>
        <v>0</v>
      </c>
      <c r="I16" s="49">
        <f t="shared" si="2"/>
        <v>1</v>
      </c>
      <c r="J16" s="50" t="str">
        <f t="shared" si="3"/>
        <v>PASS</v>
      </c>
      <c r="K16" s="51" t="s">
        <v>242</v>
      </c>
    </row>
    <row r="17">
      <c r="B17" s="52" t="s">
        <v>243</v>
      </c>
      <c r="C17" s="53" t="s">
        <v>244</v>
      </c>
      <c r="D17" s="53" t="s">
        <v>245</v>
      </c>
      <c r="E17" s="53" t="s">
        <v>246</v>
      </c>
      <c r="F17" s="54">
        <f t="shared" ref="F17:H17" si="4">SUM(F10:F16)</f>
        <v>61</v>
      </c>
      <c r="G17" s="54">
        <f t="shared" si="4"/>
        <v>59</v>
      </c>
      <c r="H17" s="54">
        <f t="shared" si="4"/>
        <v>2</v>
      </c>
      <c r="I17" s="55">
        <f t="shared" si="2"/>
        <v>0.9672131148</v>
      </c>
      <c r="J17" s="56" t="str">
        <f>IF(H17=0,"PASS","FLAGGED")</f>
        <v>FLAGGED</v>
      </c>
      <c r="K17" s="57" t="str">
        <f>IF(H17=0,"Dataset 100% compliant with Data Dictionary specifications","6 of 7 audit rules PASS; VR-02 FLAGGED with 2 foreign key discrepancies")</f>
        <v>6 of 7 audit rules PASS; VR-02 FLAGGED with 2 foreign key discrepancies</v>
      </c>
    </row>
    <row r="18"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ht="19.5" customHeight="1">
      <c r="B19" s="43" t="s">
        <v>247</v>
      </c>
      <c r="C19" s="44" t="s">
        <v>248</v>
      </c>
      <c r="D19" s="44" t="s">
        <v>249</v>
      </c>
      <c r="E19" s="44" t="s">
        <v>250</v>
      </c>
      <c r="F19" s="44" t="s">
        <v>251</v>
      </c>
      <c r="G19" s="44" t="s">
        <v>252</v>
      </c>
      <c r="H19" s="44" t="s">
        <v>253</v>
      </c>
      <c r="I19" s="44" t="s">
        <v>254</v>
      </c>
      <c r="J19" s="44" t="s">
        <v>255</v>
      </c>
      <c r="K19" s="45" t="s">
        <v>256</v>
      </c>
    </row>
    <row r="20">
      <c r="B20" s="58" t="str">
        <f>Undertakings!A2</f>
        <v>UND-2026-001</v>
      </c>
      <c r="C20" s="59" t="str">
        <f>Undertakings!C2&amp;" ("&amp;Undertakings!B2&amp;")"</f>
        <v>INST012 (APP012)</v>
      </c>
      <c r="D20" s="60" t="str">
        <f>Undertakings!D2</f>
        <v>AFFIDAVIT_SUBMISSION</v>
      </c>
      <c r="E20" s="61">
        <f>Undertakings!J2</f>
        <v>46349</v>
      </c>
      <c r="F20" s="59" t="str">
        <f>IF(ISBLANK(Undertakings!K2),"—",Undertakings!K2)</f>
        <v>—</v>
      </c>
      <c r="G20" s="50" t="str">
        <f>Undertakings!L2</f>
        <v>ROLE_INSTITUTION_ADMIN</v>
      </c>
      <c r="H20" s="50" t="str">
        <f>Undertakings!M2</f>
        <v>AWAITING_SUBMISSION</v>
      </c>
      <c r="I20" s="62">
        <f t="shared" ref="I20:I29" si="5">E20-$I$3</f>
        <v>29</v>
      </c>
      <c r="J20" s="50" t="str">
        <f>Undertakings!O2</f>
        <v>PENDING</v>
      </c>
      <c r="K20" s="63" t="str">
        <f t="shared" ref="K20:K29" si="6">IFS(H20="OVERDUE","CRITICAL: SAC Hearing Escalation",H20="DUE_SOON","URGENT: Payment Challan Upload Due Today",H20="AWAITING_SUBMISSION","Applicant preparing affidavit upload",H20="AWAITING_VERIFICATION","Pending scrutiny panel review",H20="SUBMITTED","Awaiting RO queue assignment",H20="CORRECTION_REQUESTED","Revised upload pending from applicant",H20="VERIFIED","Scrutiny endorsed; committee sign-off",H20="COMPLETED","Closed; Letter of Approval issued",TRUE,"Routine monitoring")</f>
        <v>Applicant preparing affidavit upload</v>
      </c>
    </row>
    <row r="21">
      <c r="B21" s="58" t="str">
        <f>Undertakings!A3</f>
        <v>UND-2026-002</v>
      </c>
      <c r="C21" s="59" t="str">
        <f>Undertakings!C3&amp;" ("&amp;Undertakings!B3&amp;")"</f>
        <v>INST011 (APP011)</v>
      </c>
      <c r="D21" s="60" t="str">
        <f>Undertakings!D3</f>
        <v>TER_FEE_CHALLAN</v>
      </c>
      <c r="E21" s="61">
        <f>Undertakings!J3</f>
        <v>46320</v>
      </c>
      <c r="F21" s="59" t="str">
        <f>IF(ISBLANK(Undertakings!K3),"—",Undertakings!K3)</f>
        <v>—</v>
      </c>
      <c r="G21" s="50" t="str">
        <f>Undertakings!L3</f>
        <v>ROLE_INSTITUTION_ADMIN</v>
      </c>
      <c r="H21" s="50" t="str">
        <f>Undertakings!M3</f>
        <v>DUE_SOON</v>
      </c>
      <c r="I21" s="62">
        <f t="shared" si="5"/>
        <v>0</v>
      </c>
      <c r="J21" s="50" t="str">
        <f>Undertakings!O3</f>
        <v>PENDING</v>
      </c>
      <c r="K21" s="63" t="str">
        <f t="shared" si="6"/>
        <v>URGENT: Payment Challan Upload Due Today</v>
      </c>
    </row>
    <row r="22">
      <c r="B22" s="58" t="str">
        <f>Undertakings!A4</f>
        <v>UND-2026-003</v>
      </c>
      <c r="C22" s="59" t="str">
        <f>Undertakings!C4&amp;" ("&amp;Undertakings!B4&amp;")"</f>
        <v>1-109283724 (APP-2026-1024)</v>
      </c>
      <c r="D22" s="60" t="str">
        <f>Undertakings!D4</f>
        <v>ODL_SECURITY_COMPLIANCE</v>
      </c>
      <c r="E22" s="61">
        <f>Undertakings!J4</f>
        <v>46319</v>
      </c>
      <c r="F22" s="59" t="str">
        <f>IF(ISBLANK(Undertakings!K4),"—",Undertakings!K4)</f>
        <v>—</v>
      </c>
      <c r="G22" s="50" t="str">
        <f>Undertakings!L4</f>
        <v>ROLE_INSTITUTION_ADMIN</v>
      </c>
      <c r="H22" s="50" t="str">
        <f>Undertakings!M4</f>
        <v>OVERDUE</v>
      </c>
      <c r="I22" s="62">
        <f t="shared" si="5"/>
        <v>-1</v>
      </c>
      <c r="J22" s="50" t="str">
        <f>Undertakings!O4</f>
        <v>DEFICIENT</v>
      </c>
      <c r="K22" s="63" t="str">
        <f t="shared" si="6"/>
        <v>CRITICAL: SAC Hearing Escalation</v>
      </c>
    </row>
    <row r="23">
      <c r="B23" s="58" t="str">
        <f>Undertakings!A5</f>
        <v>UND-2026-004</v>
      </c>
      <c r="C23" s="59" t="str">
        <f>Undertakings!C5&amp;" ("&amp;Undertakings!B5&amp;")"</f>
        <v>INST002 (APP002)</v>
      </c>
      <c r="D23" s="60" t="str">
        <f>Undertakings!D5</f>
        <v>FIRE_SAFETY_NOC</v>
      </c>
      <c r="E23" s="61">
        <f>Undertakings!J5</f>
        <v>46323</v>
      </c>
      <c r="F23" s="61">
        <f>IF(ISBLANK(Undertakings!K5),"—",Undertakings!K5)</f>
        <v>46318</v>
      </c>
      <c r="G23" s="50" t="str">
        <f>Undertakings!L5</f>
        <v>ROLE_RO_CASE_WORKER</v>
      </c>
      <c r="H23" s="50" t="str">
        <f>Undertakings!M5</f>
        <v>SUBMITTED</v>
      </c>
      <c r="I23" s="62">
        <f t="shared" si="5"/>
        <v>3</v>
      </c>
      <c r="J23" s="50" t="str">
        <f>Undertakings!O5</f>
        <v>PENDING</v>
      </c>
      <c r="K23" s="63" t="str">
        <f t="shared" si="6"/>
        <v>Awaiting RO queue assignment</v>
      </c>
    </row>
    <row r="24">
      <c r="B24" s="58" t="str">
        <f>Undertakings!A6</f>
        <v>UND-2026-005</v>
      </c>
      <c r="C24" s="59" t="str">
        <f>Undertakings!C6&amp;" ("&amp;Undertakings!B6&amp;")"</f>
        <v>INST004 (APP004)</v>
      </c>
      <c r="D24" s="60" t="str">
        <f>Undertakings!D6</f>
        <v>FACULTY_CADRE_RATIO</v>
      </c>
      <c r="E24" s="61">
        <f>Undertakings!J6</f>
        <v>46320</v>
      </c>
      <c r="F24" s="61">
        <f>IF(ISBLANK(Undertakings!K6),"—",Undertakings!K6)</f>
        <v>46315</v>
      </c>
      <c r="G24" s="50" t="str">
        <f>Undertakings!L6</f>
        <v>ROLE_SCRUTINY_MEMBER</v>
      </c>
      <c r="H24" s="50" t="str">
        <f>Undertakings!M6</f>
        <v>AWAITING_VERIFICATION</v>
      </c>
      <c r="I24" s="62">
        <f t="shared" si="5"/>
        <v>0</v>
      </c>
      <c r="J24" s="50" t="str">
        <f>Undertakings!O6</f>
        <v>PENDING</v>
      </c>
      <c r="K24" s="63" t="str">
        <f t="shared" si="6"/>
        <v>Pending scrutiny panel review</v>
      </c>
    </row>
    <row r="25">
      <c r="B25" s="58" t="str">
        <f>Undertakings!A7</f>
        <v>UND-2026-006</v>
      </c>
      <c r="C25" s="59" t="str">
        <f>Undertakings!C7&amp;" ("&amp;Undertakings!B7&amp;")"</f>
        <v>1-109283719 (APP-2026-1019)</v>
      </c>
      <c r="D25" s="60" t="str">
        <f>Undertakings!D7</f>
        <v>VENTILATION_COMPLIANCE</v>
      </c>
      <c r="E25" s="61">
        <f>Undertakings!J7</f>
        <v>46321</v>
      </c>
      <c r="F25" s="61">
        <f>IF(ISBLANK(Undertakings!K7),"—",Undertakings!K7)</f>
        <v>46317</v>
      </c>
      <c r="G25" s="50" t="str">
        <f>Undertakings!L7</f>
        <v>ROLE_INSTITUTION_ADMIN</v>
      </c>
      <c r="H25" s="50" t="str">
        <f>Undertakings!M7</f>
        <v>CORRECTION_REQUESTED</v>
      </c>
      <c r="I25" s="62">
        <f t="shared" si="5"/>
        <v>1</v>
      </c>
      <c r="J25" s="50" t="str">
        <f>Undertakings!O7</f>
        <v>REVISION_REQUIRED</v>
      </c>
      <c r="K25" s="63" t="str">
        <f t="shared" si="6"/>
        <v>Revised upload pending from applicant</v>
      </c>
    </row>
    <row r="26">
      <c r="B26" s="58" t="str">
        <f>Undertakings!A8</f>
        <v>UND-2026-007</v>
      </c>
      <c r="C26" s="59" t="str">
        <f>Undertakings!C8&amp;" ("&amp;Undertakings!B8&amp;")"</f>
        <v>INST008 (APP008)</v>
      </c>
      <c r="D26" s="60" t="str">
        <f>Undertakings!D8</f>
        <v>LMS_PORTAL_AFFIDAVIT</v>
      </c>
      <c r="E26" s="61">
        <f>Undertakings!J8</f>
        <v>46310</v>
      </c>
      <c r="F26" s="61">
        <f>IF(ISBLANK(Undertakings!K8),"—",Undertakings!K8)</f>
        <v>46305</v>
      </c>
      <c r="G26" s="50" t="str">
        <f>Undertakings!L8</f>
        <v>ROLE_APPROVAL_BUREAU</v>
      </c>
      <c r="H26" s="50" t="str">
        <f>Undertakings!M8</f>
        <v>VERIFIED</v>
      </c>
      <c r="I26" s="62">
        <f t="shared" si="5"/>
        <v>-10</v>
      </c>
      <c r="J26" s="50" t="str">
        <f>Undertakings!O8</f>
        <v>APPROVED</v>
      </c>
      <c r="K26" s="63" t="str">
        <f t="shared" si="6"/>
        <v>Scrutiny endorsed; committee sign-off</v>
      </c>
    </row>
    <row r="27">
      <c r="B27" s="58" t="str">
        <f>Undertakings!A9</f>
        <v>UND-2026-008</v>
      </c>
      <c r="C27" s="59" t="str">
        <f>Undertakings!C9&amp;" ("&amp;Undertakings!B9&amp;")"</f>
        <v>INST010 (APP010)</v>
      </c>
      <c r="D27" s="60" t="str">
        <f>Undertakings!D9</f>
        <v>MERGER_TRUST_RESOLUTION</v>
      </c>
      <c r="E27" s="61">
        <f>Undertakings!J9</f>
        <v>46295</v>
      </c>
      <c r="F27" s="61">
        <f>IF(ISBLANK(Undertakings!K9),"—",Undertakings!K9)</f>
        <v>46290</v>
      </c>
      <c r="G27" s="50" t="str">
        <f>Undertakings!L9</f>
        <v>ROLE_REGIONAL_OFFICER</v>
      </c>
      <c r="H27" s="50" t="str">
        <f>Undertakings!M9</f>
        <v>VERIFIED</v>
      </c>
      <c r="I27" s="62">
        <f t="shared" si="5"/>
        <v>-25</v>
      </c>
      <c r="J27" s="50" t="str">
        <f>Undertakings!O9</f>
        <v>APPROVED</v>
      </c>
      <c r="K27" s="63" t="str">
        <f t="shared" si="6"/>
        <v>Scrutiny endorsed; committee sign-off</v>
      </c>
    </row>
    <row r="28">
      <c r="B28" s="58" t="str">
        <f>Undertakings!A10</f>
        <v>UND-2026-009</v>
      </c>
      <c r="C28" s="59" t="str">
        <f>Undertakings!C10&amp;" ("&amp;Undertakings!B10&amp;")"</f>
        <v>INST013 (APP013)</v>
      </c>
      <c r="D28" s="60" t="str">
        <f>Undertakings!D10</f>
        <v>ENDOWMENT_FUND_DEPOSIT</v>
      </c>
      <c r="E28" s="61">
        <f>Undertakings!J10</f>
        <v>46280</v>
      </c>
      <c r="F28" s="61">
        <f>IF(ISBLANK(Undertakings!K10),"—",Undertakings!K10)</f>
        <v>46275</v>
      </c>
      <c r="G28" s="50" t="str">
        <f>Undertakings!L10</f>
        <v>ROLE_EXECUTIVE_COMMITTEE</v>
      </c>
      <c r="H28" s="50" t="str">
        <f>Undertakings!M10</f>
        <v>COMPLETED</v>
      </c>
      <c r="I28" s="62">
        <f t="shared" si="5"/>
        <v>-40</v>
      </c>
      <c r="J28" s="50" t="str">
        <f>Undertakings!O10</f>
        <v>APPROVED</v>
      </c>
      <c r="K28" s="63" t="str">
        <f t="shared" si="6"/>
        <v>Closed; Letter of Approval issued</v>
      </c>
    </row>
    <row r="29">
      <c r="B29" s="58" t="str">
        <f>Undertakings!A11</f>
        <v>UND-2026-010</v>
      </c>
      <c r="C29" s="59" t="str">
        <f>Undertakings!C11&amp;" ("&amp;Undertakings!B11&amp;")"</f>
        <v>INST001 (APP001)</v>
      </c>
      <c r="D29" s="60" t="str">
        <f>Undertakings!D11</f>
        <v>EVC_GROUND_FACILITIES</v>
      </c>
      <c r="E29" s="61">
        <f>Undertakings!J11</f>
        <v>46322</v>
      </c>
      <c r="F29" s="61">
        <f>IF(ISBLANK(Undertakings!K11),"—",Undertakings!K11)</f>
        <v>46319</v>
      </c>
      <c r="G29" s="50" t="str">
        <f>Undertakings!L11</f>
        <v>ROLE_EVC_EXPERT</v>
      </c>
      <c r="H29" s="50" t="str">
        <f>Undertakings!M11</f>
        <v>AWAITING_VERIFICATION</v>
      </c>
      <c r="I29" s="62">
        <f t="shared" si="5"/>
        <v>2</v>
      </c>
      <c r="J29" s="50" t="str">
        <f>Undertakings!O11</f>
        <v>PENDING</v>
      </c>
      <c r="K29" s="63" t="str">
        <f t="shared" si="6"/>
        <v>Pending scrutiny panel review</v>
      </c>
    </row>
    <row r="30">
      <c r="B30" s="64" t="s">
        <v>257</v>
      </c>
      <c r="C30" s="65" t="s">
        <v>258</v>
      </c>
      <c r="D30" s="65" t="s">
        <v>259</v>
      </c>
      <c r="E30" s="65" t="s">
        <v>260</v>
      </c>
      <c r="F30" s="66" t="str">
        <f>COUNTIF(F20:F29,"&lt;&gt;—")&amp;" Uploaded"</f>
        <v>7 Uploaded</v>
      </c>
      <c r="G30" s="65" t="s">
        <v>261</v>
      </c>
      <c r="H30" s="66" t="str">
        <f>COUNTIF(H20:H29,"OVERDUE")&amp;" Overdue | "&amp;COUNTIF(H20:H29,"DUE_SOON")&amp;" Due Soon"</f>
        <v>1 Overdue | 1 Due Soon</v>
      </c>
      <c r="I30" s="67">
        <f>ROUND(AVERAGE(I20:I29),1)</f>
        <v>-4.1</v>
      </c>
      <c r="J30" s="66" t="str">
        <f>COUNTIF(J20:J29,"APPROVED")&amp;" Approved"</f>
        <v>3 Approved</v>
      </c>
      <c r="K30" s="68" t="s">
        <v>262</v>
      </c>
    </row>
    <row r="31">
      <c r="B31" s="69" t="s">
        <v>263</v>
      </c>
      <c r="C31" s="70"/>
      <c r="D31" s="70"/>
      <c r="E31" s="70"/>
      <c r="F31" s="70"/>
      <c r="G31" s="70"/>
      <c r="H31" s="70"/>
      <c r="I31" s="70"/>
      <c r="J31" s="70"/>
      <c r="K31" s="71"/>
    </row>
    <row r="32"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ht="19.5" customHeight="1">
      <c r="B33" s="72" t="s">
        <v>264</v>
      </c>
      <c r="C33" s="73"/>
      <c r="D33" s="73"/>
      <c r="E33" s="73"/>
      <c r="F33" s="74"/>
      <c r="G33" s="75" t="s">
        <v>265</v>
      </c>
      <c r="H33" s="73"/>
      <c r="I33" s="73"/>
      <c r="J33" s="73"/>
      <c r="K33" s="76"/>
    </row>
    <row r="34" ht="18.0" customHeight="1">
      <c r="B34" s="77" t="s">
        <v>266</v>
      </c>
      <c r="C34" s="78" t="s">
        <v>267</v>
      </c>
      <c r="D34" s="78" t="s">
        <v>268</v>
      </c>
      <c r="E34" s="78" t="s">
        <v>255</v>
      </c>
      <c r="F34" s="78" t="s">
        <v>269</v>
      </c>
      <c r="G34" s="78" t="s">
        <v>270</v>
      </c>
      <c r="H34" s="78" t="s">
        <v>271</v>
      </c>
      <c r="I34" s="78" t="s">
        <v>272</v>
      </c>
      <c r="J34" s="78" t="s">
        <v>273</v>
      </c>
      <c r="K34" s="79" t="s">
        <v>274</v>
      </c>
    </row>
    <row r="35">
      <c r="B35" s="80" t="s">
        <v>193</v>
      </c>
      <c r="C35" s="81" t="s">
        <v>192</v>
      </c>
      <c r="D35" s="50" t="str">
        <f>VLOOKUP(B35,Undertakings!C$2:M$11,11,FALSE)</f>
        <v>AWAITING_VERIFICATION</v>
      </c>
      <c r="E35" s="50" t="str">
        <f>VLOOKUP(B35,Undertakings!C$2:O$11,13,FALSE)</f>
        <v>PENDING</v>
      </c>
      <c r="F35" s="47" t="s">
        <v>275</v>
      </c>
      <c r="G35" s="82" t="s">
        <v>142</v>
      </c>
      <c r="H35" s="81" t="s">
        <v>255</v>
      </c>
      <c r="I35" s="48">
        <f>COUNTIF(Undertakings!O$2:O$11,"APPROVED")</f>
        <v>3</v>
      </c>
      <c r="J35" s="49">
        <f>I35/COUNTA(Undertakings!A$2:A$11)</f>
        <v>0.3</v>
      </c>
      <c r="K35" s="51" t="s">
        <v>276</v>
      </c>
    </row>
    <row r="36">
      <c r="B36" s="80" t="s">
        <v>106</v>
      </c>
      <c r="C36" s="81" t="s">
        <v>105</v>
      </c>
      <c r="D36" s="50" t="str">
        <f>VLOOKUP(B36,Undertakings!C$2:M$11,11,FALSE)</f>
        <v>SUBMITTED</v>
      </c>
      <c r="E36" s="50" t="str">
        <f>VLOOKUP(B36,Undertakings!C$2:O$11,13,FALSE)</f>
        <v>PENDING</v>
      </c>
      <c r="F36" s="47" t="s">
        <v>277</v>
      </c>
      <c r="G36" s="82" t="s">
        <v>158</v>
      </c>
      <c r="H36" s="81" t="s">
        <v>255</v>
      </c>
      <c r="I36" s="48">
        <f>COUNTIF(Undertakings!O$2:O$11,"REVISION_REQUIRED")</f>
        <v>1</v>
      </c>
      <c r="J36" s="49">
        <f>I36/COUNTA(Undertakings!A$2:A$11)</f>
        <v>0.1</v>
      </c>
      <c r="K36" s="51" t="s">
        <v>278</v>
      </c>
    </row>
    <row r="37">
      <c r="B37" s="80" t="s">
        <v>130</v>
      </c>
      <c r="C37" s="81" t="s">
        <v>129</v>
      </c>
      <c r="D37" s="50" t="str">
        <f>VLOOKUP(B37,Undertakings!C$2:M$11,11,FALSE)</f>
        <v>AWAITING_VERIFICATION</v>
      </c>
      <c r="E37" s="50" t="str">
        <f>VLOOKUP(B37,Undertakings!C$2:O$11,13,FALSE)</f>
        <v>PENDING</v>
      </c>
      <c r="F37" s="47" t="s">
        <v>279</v>
      </c>
      <c r="G37" s="82" t="s">
        <v>100</v>
      </c>
      <c r="H37" s="81" t="s">
        <v>255</v>
      </c>
      <c r="I37" s="48">
        <f>COUNTIF(Undertakings!O$2:O$11,"DEFICIENT")</f>
        <v>1</v>
      </c>
      <c r="J37" s="49">
        <f>I37/COUNTA(Undertakings!A$2:A$11)</f>
        <v>0.1</v>
      </c>
      <c r="K37" s="51" t="s">
        <v>280</v>
      </c>
    </row>
    <row r="38">
      <c r="B38" s="80" t="s">
        <v>163</v>
      </c>
      <c r="C38" s="81" t="s">
        <v>162</v>
      </c>
      <c r="D38" s="50" t="str">
        <f>VLOOKUP(B38,Undertakings!C$2:M$11,11,FALSE)</f>
        <v>VERIFIED</v>
      </c>
      <c r="E38" s="50" t="str">
        <f>VLOOKUP(B38,Undertakings!C$2:O$11,13,FALSE)</f>
        <v>APPROVED</v>
      </c>
      <c r="F38" s="47" t="s">
        <v>281</v>
      </c>
      <c r="G38" s="82" t="s">
        <v>49</v>
      </c>
      <c r="H38" s="81" t="s">
        <v>255</v>
      </c>
      <c r="I38" s="48">
        <f>COUNTIF(Undertakings!O$2:O$11,"PENDING")</f>
        <v>5</v>
      </c>
      <c r="J38" s="49">
        <f>I38/COUNTA(Undertakings!A$2:A$11)</f>
        <v>0.5</v>
      </c>
      <c r="K38" s="51" t="s">
        <v>282</v>
      </c>
    </row>
    <row r="39">
      <c r="B39" s="80" t="s">
        <v>176</v>
      </c>
      <c r="C39" s="81" t="s">
        <v>175</v>
      </c>
      <c r="D39" s="50" t="str">
        <f>VLOOKUP(B39,Undertakings!C$2:M$11,11,FALSE)</f>
        <v>VERIFIED</v>
      </c>
      <c r="E39" s="50" t="str">
        <f>VLOOKUP(B39,Undertakings!C$2:O$11,13,FALSE)</f>
        <v>APPROVED</v>
      </c>
      <c r="F39" s="47" t="s">
        <v>281</v>
      </c>
      <c r="G39" s="82" t="s">
        <v>46</v>
      </c>
      <c r="H39" s="81" t="s">
        <v>253</v>
      </c>
      <c r="I39" s="48">
        <f>COUNTIF(Undertakings!M$2:M$11,"AWAITING_SUBMISSION")</f>
        <v>1</v>
      </c>
      <c r="J39" s="49">
        <f>I39/COUNTA(Undertakings!A$2:A$11)</f>
        <v>0.1</v>
      </c>
      <c r="K39" s="51" t="s">
        <v>283</v>
      </c>
    </row>
    <row r="40">
      <c r="B40" s="80" t="s">
        <v>60</v>
      </c>
      <c r="C40" s="81" t="s">
        <v>58</v>
      </c>
      <c r="D40" s="50" t="str">
        <f>VLOOKUP(B40,Undertakings!C$2:M$11,11,FALSE)</f>
        <v>DUE_SOON</v>
      </c>
      <c r="E40" s="50" t="str">
        <f>VLOOKUP(B40,Undertakings!C$2:O$11,13,FALSE)</f>
        <v>PENDING</v>
      </c>
      <c r="F40" s="47" t="s">
        <v>284</v>
      </c>
      <c r="G40" s="82" t="s">
        <v>78</v>
      </c>
      <c r="H40" s="81" t="s">
        <v>253</v>
      </c>
      <c r="I40" s="48">
        <f>COUNTIF(Undertakings!M$2:M$11,"DUE_SOON")</f>
        <v>1</v>
      </c>
      <c r="J40" s="49">
        <f>I40/COUNTA(Undertakings!A$2:A$11)</f>
        <v>0.1</v>
      </c>
      <c r="K40" s="51" t="s">
        <v>285</v>
      </c>
    </row>
    <row r="41">
      <c r="B41" s="80" t="s">
        <v>33</v>
      </c>
      <c r="C41" s="81" t="s">
        <v>31</v>
      </c>
      <c r="D41" s="50" t="str">
        <f>VLOOKUP(B41,Undertakings!C$2:M$11,11,FALSE)</f>
        <v>AWAITING_SUBMISSION</v>
      </c>
      <c r="E41" s="50" t="str">
        <f>VLOOKUP(B41,Undertakings!C$2:O$11,13,FALSE)</f>
        <v>PENDING</v>
      </c>
      <c r="F41" s="47" t="s">
        <v>286</v>
      </c>
      <c r="G41" s="82" t="s">
        <v>98</v>
      </c>
      <c r="H41" s="81" t="s">
        <v>253</v>
      </c>
      <c r="I41" s="48">
        <f>COUNTIF(Undertakings!M$2:M$11,"OVERDUE")</f>
        <v>1</v>
      </c>
      <c r="J41" s="49">
        <f>I41/COUNTA(Undertakings!A$2:A$11)</f>
        <v>0.1</v>
      </c>
      <c r="K41" s="51" t="s">
        <v>287</v>
      </c>
    </row>
    <row r="42">
      <c r="B42" s="80" t="s">
        <v>184</v>
      </c>
      <c r="C42" s="81" t="s">
        <v>183</v>
      </c>
      <c r="D42" s="50" t="str">
        <f>VLOOKUP(B42,Undertakings!C$2:M$11,11,FALSE)</f>
        <v>COMPLETED</v>
      </c>
      <c r="E42" s="50" t="str">
        <f>VLOOKUP(B42,Undertakings!C$2:O$11,13,FALSE)</f>
        <v>APPROVED</v>
      </c>
      <c r="F42" s="47" t="s">
        <v>288</v>
      </c>
      <c r="G42" s="82" t="s">
        <v>140</v>
      </c>
      <c r="H42" s="81" t="s">
        <v>253</v>
      </c>
      <c r="I42" s="48">
        <f>COUNTIF(Undertakings!M$2:M$11,"AWAITING_VERIFICATION")</f>
        <v>2</v>
      </c>
      <c r="J42" s="49">
        <f>I42/COUNTA(Undertakings!A$2:A$11)</f>
        <v>0.2</v>
      </c>
      <c r="K42" s="51" t="s">
        <v>289</v>
      </c>
    </row>
    <row r="43">
      <c r="B43" s="80" t="s">
        <v>151</v>
      </c>
      <c r="C43" s="81" t="s">
        <v>148</v>
      </c>
      <c r="D43" s="50" t="str">
        <f>VLOOKUP(B43,Undertakings!C$2:M$11,11,FALSE)</f>
        <v>CORRECTION_REQUESTED</v>
      </c>
      <c r="E43" s="50" t="str">
        <f>VLOOKUP(B43,Undertakings!C$2:O$11,13,FALSE)</f>
        <v>REVISION_REQUIRED</v>
      </c>
      <c r="F43" s="47" t="s">
        <v>290</v>
      </c>
      <c r="G43" s="82" t="s">
        <v>156</v>
      </c>
      <c r="H43" s="81" t="s">
        <v>253</v>
      </c>
      <c r="I43" s="48">
        <f>COUNTIF(Undertakings!M$2:M$11,"CORRECTION_REQUESTED")</f>
        <v>1</v>
      </c>
      <c r="J43" s="49">
        <f>I43/COUNTA(Undertakings!A$2:A$11)</f>
        <v>0.1</v>
      </c>
      <c r="K43" s="51" t="s">
        <v>291</v>
      </c>
    </row>
    <row r="44">
      <c r="B44" s="80" t="s">
        <v>91</v>
      </c>
      <c r="C44" s="81" t="s">
        <v>89</v>
      </c>
      <c r="D44" s="50" t="str">
        <f>VLOOKUP(B44,Undertakings!C$2:M$11,11,FALSE)</f>
        <v>OVERDUE</v>
      </c>
      <c r="E44" s="50" t="str">
        <f>VLOOKUP(B44,Undertakings!C$2:O$11,13,FALSE)</f>
        <v>DEFICIENT</v>
      </c>
      <c r="F44" s="47" t="s">
        <v>292</v>
      </c>
      <c r="G44" s="82" t="s">
        <v>293</v>
      </c>
      <c r="H44" s="81" t="s">
        <v>253</v>
      </c>
      <c r="I44" s="48">
        <f>COUNTIF(Undertakings!M$2:M$11,"VERIFIED")+COUNTIF(Undertakings!M$2:M$11,"COMPLETED")</f>
        <v>3</v>
      </c>
      <c r="J44" s="49">
        <f>I44/COUNTA(Undertakings!A$2:A$11)</f>
        <v>0.3</v>
      </c>
      <c r="K44" s="51" t="s">
        <v>294</v>
      </c>
    </row>
    <row r="45">
      <c r="B45" s="64" t="s">
        <v>295</v>
      </c>
      <c r="C45" s="65" t="s">
        <v>296</v>
      </c>
      <c r="D45" s="66" t="str">
        <f>COUNTIF(D35:D44,"OVERDUE")&amp;" Overdue"</f>
        <v>1 Overdue</v>
      </c>
      <c r="E45" s="66" t="str">
        <f>COUNTIF(E35:E44,"APPROVED")&amp;" Approved"</f>
        <v>3 Approved</v>
      </c>
      <c r="F45" s="65" t="s">
        <v>297</v>
      </c>
      <c r="G45" s="65" t="s">
        <v>298</v>
      </c>
      <c r="H45" s="65" t="s">
        <v>299</v>
      </c>
      <c r="I45" s="83">
        <f t="shared" ref="I45:J45" si="7">SUM(I35:I38)</f>
        <v>10</v>
      </c>
      <c r="J45" s="84">
        <f t="shared" si="7"/>
        <v>1</v>
      </c>
      <c r="K45" s="68" t="s">
        <v>300</v>
      </c>
    </row>
    <row r="46" ht="19.5" customHeight="1">
      <c r="B46" s="85" t="s">
        <v>301</v>
      </c>
      <c r="C46" s="86"/>
      <c r="D46" s="86"/>
      <c r="E46" s="86"/>
      <c r="F46" s="86"/>
      <c r="G46" s="86"/>
      <c r="H46" s="86"/>
      <c r="I46" s="86"/>
      <c r="J46" s="86"/>
      <c r="K46" s="87"/>
    </row>
    <row r="47" ht="33.0" customHeight="1">
      <c r="B47" s="88" t="s">
        <v>302</v>
      </c>
      <c r="C47" s="89"/>
      <c r="D47" s="89"/>
      <c r="E47" s="89"/>
      <c r="F47" s="89"/>
      <c r="G47" s="89"/>
      <c r="H47" s="89"/>
      <c r="I47" s="89"/>
      <c r="J47" s="89"/>
      <c r="K47" s="90"/>
    </row>
  </sheetData>
  <mergeCells count="24">
    <mergeCell ref="H5:I5"/>
    <mergeCell ref="J5:K5"/>
    <mergeCell ref="B2:H2"/>
    <mergeCell ref="I2:J2"/>
    <mergeCell ref="B3:H3"/>
    <mergeCell ref="I3:J3"/>
    <mergeCell ref="B5:C5"/>
    <mergeCell ref="D5:E5"/>
    <mergeCell ref="F5:G5"/>
    <mergeCell ref="F7:G7"/>
    <mergeCell ref="H7:I7"/>
    <mergeCell ref="J7:K7"/>
    <mergeCell ref="B31:K31"/>
    <mergeCell ref="B33:F33"/>
    <mergeCell ref="G33:K33"/>
    <mergeCell ref="B46:K46"/>
    <mergeCell ref="B47:K47"/>
    <mergeCell ref="B6:C6"/>
    <mergeCell ref="D6:E6"/>
    <mergeCell ref="F6:G6"/>
    <mergeCell ref="H6:I6"/>
    <mergeCell ref="J6:K6"/>
    <mergeCell ref="B7:C7"/>
    <mergeCell ref="D7:E7"/>
  </mergeCells>
  <conditionalFormatting sqref="J10:J17">
    <cfRule type="containsText" dxfId="4" priority="1" stopIfTrue="1" operator="containsText" text="PASS">
      <formula>NOT(ISERROR(SEARCH(("PASS"),(J10))))</formula>
    </cfRule>
  </conditionalFormatting>
  <conditionalFormatting sqref="J10:J17">
    <cfRule type="containsText" dxfId="5" priority="2" stopIfTrue="1" operator="containsText" text="FAIL">
      <formula>NOT(ISERROR(SEARCH(("FAIL"),(J10))))</formula>
    </cfRule>
  </conditionalFormatting>
  <conditionalFormatting sqref="G20:G29">
    <cfRule type="cellIs" dxfId="5" priority="3" stopIfTrue="1" operator="equal">
      <formula>"OVERDUE"</formula>
    </cfRule>
  </conditionalFormatting>
  <conditionalFormatting sqref="G20:G29">
    <cfRule type="cellIs" dxfId="6" priority="4" stopIfTrue="1" operator="equal">
      <formula>"DUE_SOON"</formula>
    </cfRule>
  </conditionalFormatting>
  <conditionalFormatting sqref="G20:G29">
    <cfRule type="containsText" dxfId="4" priority="5" stopIfTrue="1" operator="containsText" text="VERIFIED">
      <formula>NOT(ISERROR(SEARCH(("VERIFIED"),(G20))))</formula>
    </cfRule>
  </conditionalFormatting>
  <conditionalFormatting sqref="G20:G29">
    <cfRule type="containsText" dxfId="4" priority="6" stopIfTrue="1" operator="containsText" text="COMPLETED">
      <formula>NOT(ISERROR(SEARCH(("COMPLETED"),(G20))))</formula>
    </cfRule>
  </conditionalFormatting>
  <conditionalFormatting sqref="I20:I29 D35:D44 F35:F38">
    <cfRule type="containsText" dxfId="4" priority="7" stopIfTrue="1" operator="containsText" text="APPROVED">
      <formula>NOT(ISERROR(SEARCH(("APPROVED"),(I20))))</formula>
    </cfRule>
  </conditionalFormatting>
  <conditionalFormatting sqref="I20:I29 D35:D44 F35:F38">
    <cfRule type="containsText" dxfId="7" priority="8" stopIfTrue="1" operator="containsText" text="REVISION">
      <formula>NOT(ISERROR(SEARCH(("REVISION"),(I20))))</formula>
    </cfRule>
  </conditionalFormatting>
  <conditionalFormatting sqref="I20:I29 D35:D44 F35:F38">
    <cfRule type="containsText" dxfId="5" priority="9" stopIfTrue="1" operator="containsText" text="DEFICIENT">
      <formula>NOT(ISERROR(SEARCH(("DEFICIENT"),(I20))))</formula>
    </cfRule>
  </conditionalFormatting>
  <drawing r:id="rId1"/>
</worksheet>
</file>